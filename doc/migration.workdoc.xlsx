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wamp64\www\project\dpe-audit\repositories\migration\"/>
    </mc:Choice>
  </mc:AlternateContent>
  <xr:revisionPtr revIDLastSave="0" documentId="13_ncr:1_{03ACA3A4-FBC2-41BF-A06C-D12719544A95}" xr6:coauthVersionLast="47" xr6:coauthVersionMax="47" xr10:uidLastSave="{00000000-0000-0000-0000-000000000000}"/>
  <bookViews>
    <workbookView xWindow="-108" yWindow="-108" windowWidth="23256" windowHeight="12456" activeTab="2" xr2:uid="{4968671F-A3FE-4DB3-A0DE-9659C83D15B8}"/>
  </bookViews>
  <sheets>
    <sheet name="matching" sheetId="4" r:id="rId1"/>
    <sheet name="transformer" sheetId="1" r:id="rId2"/>
    <sheet name="enum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4" i="1" l="1"/>
  <c r="D295" i="1"/>
  <c r="D296" i="1"/>
  <c r="E294" i="1" a="1"/>
  <c r="E294" i="1" s="1"/>
  <c r="E295" i="1" a="1"/>
  <c r="E295" i="1" s="1"/>
  <c r="E296" i="1" a="1"/>
  <c r="E296" i="1" s="1"/>
  <c r="H294" i="1"/>
  <c r="H295" i="1"/>
  <c r="H296" i="1"/>
  <c r="D293" i="1"/>
  <c r="E293" i="1" a="1"/>
  <c r="E293" i="1" s="1"/>
  <c r="H293" i="1"/>
  <c r="D292" i="1"/>
  <c r="E292" i="1" s="1" a="1"/>
  <c r="E292" i="1" s="1"/>
  <c r="H292" i="1"/>
  <c r="D289" i="1"/>
  <c r="D290" i="1"/>
  <c r="D291" i="1"/>
  <c r="E289" i="1" a="1"/>
  <c r="E289" i="1" s="1"/>
  <c r="E290" i="1" a="1"/>
  <c r="E290" i="1" s="1"/>
  <c r="E291" i="1" a="1"/>
  <c r="E291" i="1" s="1"/>
  <c r="H289" i="1"/>
  <c r="H290" i="1"/>
  <c r="H291" i="1"/>
  <c r="D288" i="1"/>
  <c r="E288" i="1" s="1" a="1"/>
  <c r="E288" i="1" s="1"/>
  <c r="H288" i="1"/>
  <c r="D287" i="1"/>
  <c r="E287" i="1" s="1" a="1"/>
  <c r="E287" i="1" s="1"/>
  <c r="H287" i="1"/>
  <c r="D286" i="1"/>
  <c r="E286" i="1" s="1" a="1"/>
  <c r="E286" i="1" s="1"/>
  <c r="H286" i="1"/>
  <c r="D285" i="1"/>
  <c r="E285" i="1" s="1" a="1"/>
  <c r="E285" i="1" s="1"/>
  <c r="H285" i="1"/>
  <c r="D284" i="1"/>
  <c r="E284" i="1" s="1" a="1"/>
  <c r="E284" i="1" s="1"/>
  <c r="H284" i="1"/>
  <c r="D283" i="1"/>
  <c r="E283" i="1" s="1" a="1"/>
  <c r="E283" i="1" s="1"/>
  <c r="H283" i="1"/>
  <c r="D282" i="1"/>
  <c r="E282" i="1" s="1" a="1"/>
  <c r="E282" i="1" s="1"/>
  <c r="H282" i="1"/>
  <c r="D281" i="1"/>
  <c r="E281" i="1" s="1" a="1"/>
  <c r="E281" i="1" s="1"/>
  <c r="H281" i="1"/>
  <c r="D280" i="1"/>
  <c r="E280" i="1" s="1" a="1"/>
  <c r="E280" i="1" s="1"/>
  <c r="H280" i="1"/>
  <c r="D279" i="1"/>
  <c r="E279" i="1" s="1" a="1"/>
  <c r="E279" i="1" s="1"/>
  <c r="H279" i="1"/>
  <c r="D278" i="1"/>
  <c r="E278" i="1" s="1" a="1"/>
  <c r="E278" i="1" s="1"/>
  <c r="H278" i="1"/>
  <c r="D277" i="1"/>
  <c r="E277" i="1" s="1" a="1"/>
  <c r="E277" i="1" s="1"/>
  <c r="H277" i="1"/>
  <c r="D75" i="4"/>
  <c r="D276" i="1"/>
  <c r="E276" i="1" s="1" a="1"/>
  <c r="E276" i="1" s="1"/>
  <c r="H276" i="1"/>
  <c r="D275" i="1"/>
  <c r="E275" i="1" s="1" a="1"/>
  <c r="E275" i="1" s="1"/>
  <c r="H275" i="1"/>
  <c r="D272" i="1"/>
  <c r="E272" i="1" s="1" a="1"/>
  <c r="E272" i="1" s="1"/>
  <c r="D273" i="1"/>
  <c r="E273" i="1" s="1" a="1"/>
  <c r="E273" i="1" s="1"/>
  <c r="D274" i="1"/>
  <c r="E274" i="1" s="1" a="1"/>
  <c r="E274" i="1" s="1"/>
  <c r="H272" i="1"/>
  <c r="H273" i="1"/>
  <c r="H274" i="1"/>
  <c r="D205" i="1"/>
  <c r="E205" i="1" s="1" a="1"/>
  <c r="E205" i="1" s="1"/>
  <c r="D206" i="1"/>
  <c r="E206" i="1" s="1" a="1"/>
  <c r="E206" i="1" s="1"/>
  <c r="D207" i="1"/>
  <c r="E207" i="1" s="1" a="1"/>
  <c r="E207" i="1" s="1"/>
  <c r="D208" i="1"/>
  <c r="E208" i="1" s="1" a="1"/>
  <c r="E208" i="1" s="1"/>
  <c r="D209" i="1"/>
  <c r="D210" i="1"/>
  <c r="E210" i="1" s="1" a="1"/>
  <c r="E210" i="1" s="1"/>
  <c r="D211" i="1"/>
  <c r="E211" i="1" s="1" a="1"/>
  <c r="E211" i="1" s="1"/>
  <c r="D212" i="1"/>
  <c r="E212" i="1" s="1" a="1"/>
  <c r="E212" i="1" s="1"/>
  <c r="D213" i="1"/>
  <c r="E213" i="1" s="1" a="1"/>
  <c r="E213" i="1" s="1"/>
  <c r="D214" i="1"/>
  <c r="E214" i="1" s="1" a="1"/>
  <c r="E214" i="1" s="1"/>
  <c r="D215" i="1"/>
  <c r="E215" i="1" s="1" a="1"/>
  <c r="E215" i="1" s="1"/>
  <c r="D216" i="1"/>
  <c r="E216" i="1" s="1" a="1"/>
  <c r="E216" i="1" s="1"/>
  <c r="D217" i="1"/>
  <c r="E217" i="1" s="1" a="1"/>
  <c r="E217" i="1" s="1"/>
  <c r="D218" i="1"/>
  <c r="E218" i="1" s="1" a="1"/>
  <c r="E218" i="1" s="1"/>
  <c r="D219" i="1"/>
  <c r="E219" i="1" s="1" a="1"/>
  <c r="E219" i="1" s="1"/>
  <c r="D220" i="1"/>
  <c r="E220" i="1" s="1" a="1"/>
  <c r="E220" i="1" s="1"/>
  <c r="D221" i="1"/>
  <c r="E221" i="1" s="1" a="1"/>
  <c r="E221" i="1" s="1"/>
  <c r="D222" i="1"/>
  <c r="E222" i="1" s="1" a="1"/>
  <c r="E222" i="1" s="1"/>
  <c r="D223" i="1"/>
  <c r="E223" i="1" s="1" a="1"/>
  <c r="E223" i="1" s="1"/>
  <c r="D224" i="1"/>
  <c r="E224" i="1" s="1" a="1"/>
  <c r="E224" i="1" s="1"/>
  <c r="D225" i="1"/>
  <c r="E225" i="1" s="1" a="1"/>
  <c r="E225" i="1" s="1"/>
  <c r="D226" i="1"/>
  <c r="E226" i="1" s="1" a="1"/>
  <c r="E226" i="1" s="1"/>
  <c r="D227" i="1"/>
  <c r="E227" i="1" s="1" a="1"/>
  <c r="E227" i="1" s="1"/>
  <c r="D228" i="1"/>
  <c r="E228" i="1" s="1" a="1"/>
  <c r="E228" i="1" s="1"/>
  <c r="D229" i="1"/>
  <c r="E229" i="1" s="1" a="1"/>
  <c r="E229" i="1" s="1"/>
  <c r="D230" i="1"/>
  <c r="E230" i="1" s="1" a="1"/>
  <c r="E230" i="1" s="1"/>
  <c r="D231" i="1"/>
  <c r="E231" i="1" s="1" a="1"/>
  <c r="E231" i="1" s="1"/>
  <c r="D232" i="1"/>
  <c r="E232" i="1" s="1" a="1"/>
  <c r="E232" i="1" s="1"/>
  <c r="D233" i="1"/>
  <c r="D234" i="1"/>
  <c r="E234" i="1" s="1" a="1"/>
  <c r="E234" i="1" s="1"/>
  <c r="D235" i="1"/>
  <c r="E235" i="1" s="1" a="1"/>
  <c r="E235" i="1" s="1"/>
  <c r="D236" i="1"/>
  <c r="E236" i="1" s="1" a="1"/>
  <c r="E236" i="1" s="1"/>
  <c r="D237" i="1"/>
  <c r="E237" i="1" s="1" a="1"/>
  <c r="E237" i="1" s="1"/>
  <c r="D238" i="1"/>
  <c r="E238" i="1" s="1" a="1"/>
  <c r="E238" i="1" s="1"/>
  <c r="D239" i="1"/>
  <c r="E239" i="1" s="1" a="1"/>
  <c r="E239" i="1" s="1"/>
  <c r="D240" i="1"/>
  <c r="E240" i="1" s="1" a="1"/>
  <c r="E240" i="1" s="1"/>
  <c r="D241" i="1"/>
  <c r="E241" i="1" s="1" a="1"/>
  <c r="E241" i="1" s="1"/>
  <c r="D242" i="1"/>
  <c r="E242" i="1" s="1" a="1"/>
  <c r="E242" i="1" s="1"/>
  <c r="D243" i="1"/>
  <c r="E243" i="1" s="1" a="1"/>
  <c r="E243" i="1" s="1"/>
  <c r="D244" i="1"/>
  <c r="E244" i="1" s="1" a="1"/>
  <c r="E244" i="1" s="1"/>
  <c r="D245" i="1"/>
  <c r="D246" i="1"/>
  <c r="E246" i="1" s="1" a="1"/>
  <c r="E246" i="1" s="1"/>
  <c r="D247" i="1"/>
  <c r="E247" i="1" s="1" a="1"/>
  <c r="E247" i="1" s="1"/>
  <c r="D248" i="1"/>
  <c r="E248" i="1" s="1" a="1"/>
  <c r="E248" i="1" s="1"/>
  <c r="D249" i="1"/>
  <c r="E249" i="1" s="1" a="1"/>
  <c r="E249" i="1" s="1"/>
  <c r="D250" i="1"/>
  <c r="E250" i="1" s="1" a="1"/>
  <c r="E250" i="1" s="1"/>
  <c r="D251" i="1"/>
  <c r="E251" i="1" s="1" a="1"/>
  <c r="E251" i="1" s="1"/>
  <c r="D252" i="1"/>
  <c r="E252" i="1" s="1" a="1"/>
  <c r="E252" i="1" s="1"/>
  <c r="D253" i="1"/>
  <c r="E253" i="1" s="1" a="1"/>
  <c r="E253" i="1" s="1"/>
  <c r="D254" i="1"/>
  <c r="E254" i="1" s="1" a="1"/>
  <c r="E254" i="1" s="1"/>
  <c r="D255" i="1"/>
  <c r="E255" i="1" s="1" a="1"/>
  <c r="E255" i="1" s="1"/>
  <c r="D256" i="1"/>
  <c r="E256" i="1" s="1" a="1"/>
  <c r="E256" i="1" s="1"/>
  <c r="D257" i="1"/>
  <c r="D258" i="1"/>
  <c r="E258" i="1" s="1" a="1"/>
  <c r="E258" i="1" s="1"/>
  <c r="D259" i="1"/>
  <c r="E259" i="1" s="1" a="1"/>
  <c r="E259" i="1" s="1"/>
  <c r="D260" i="1"/>
  <c r="E260" i="1" s="1" a="1"/>
  <c r="E260" i="1" s="1"/>
  <c r="D261" i="1"/>
  <c r="E261" i="1" s="1" a="1"/>
  <c r="E261" i="1" s="1"/>
  <c r="D262" i="1"/>
  <c r="E262" i="1" s="1" a="1"/>
  <c r="E262" i="1" s="1"/>
  <c r="D263" i="1"/>
  <c r="E263" i="1" s="1" a="1"/>
  <c r="E263" i="1" s="1"/>
  <c r="D264" i="1"/>
  <c r="E264" i="1" s="1" a="1"/>
  <c r="E264" i="1" s="1"/>
  <c r="D265" i="1"/>
  <c r="E265" i="1" s="1" a="1"/>
  <c r="E265" i="1" s="1"/>
  <c r="D266" i="1"/>
  <c r="E266" i="1" s="1" a="1"/>
  <c r="E266" i="1" s="1"/>
  <c r="D267" i="1"/>
  <c r="E267" i="1" s="1" a="1"/>
  <c r="E267" i="1" s="1"/>
  <c r="D268" i="1"/>
  <c r="E268" i="1" s="1" a="1"/>
  <c r="E268" i="1" s="1"/>
  <c r="D269" i="1"/>
  <c r="D270" i="1"/>
  <c r="E270" i="1" s="1" a="1"/>
  <c r="E270" i="1" s="1"/>
  <c r="D271" i="1"/>
  <c r="E271" i="1" s="1" a="1"/>
  <c r="E271" i="1" s="1"/>
  <c r="E209" i="1" a="1"/>
  <c r="E209" i="1" s="1"/>
  <c r="E233" i="1" a="1"/>
  <c r="E233" i="1" s="1"/>
  <c r="E245" i="1" a="1"/>
  <c r="E245" i="1" s="1"/>
  <c r="E257" i="1" a="1"/>
  <c r="E257" i="1" s="1"/>
  <c r="E269" i="1" a="1"/>
  <c r="E269" i="1" s="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04" i="1"/>
  <c r="H203" i="1"/>
  <c r="D203" i="1"/>
  <c r="E203" i="1" s="1" a="1"/>
  <c r="E203" i="1" s="1"/>
  <c r="D204" i="1"/>
  <c r="E204" i="1" s="1" a="1"/>
  <c r="E204" i="1" s="1"/>
  <c r="D57" i="4"/>
  <c r="D58" i="4"/>
  <c r="D59" i="4"/>
  <c r="D60" i="4"/>
  <c r="D61" i="4"/>
  <c r="D62" i="4"/>
  <c r="D63" i="4"/>
  <c r="D64" i="4"/>
  <c r="D65" i="4"/>
  <c r="D66" i="4"/>
  <c r="D67" i="4"/>
  <c r="D68" i="4"/>
  <c r="D69" i="4"/>
  <c r="D70" i="4"/>
  <c r="D71" i="4"/>
  <c r="D72" i="4"/>
  <c r="D73" i="4"/>
  <c r="D74" i="4"/>
  <c r="D56" i="4"/>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D150" i="1"/>
  <c r="E150" i="1" s="1" a="1"/>
  <c r="E150" i="1" s="1"/>
  <c r="D151" i="1"/>
  <c r="E151" i="1" s="1" a="1"/>
  <c r="E151" i="1" s="1"/>
  <c r="D152" i="1"/>
  <c r="E152" i="1" s="1" a="1"/>
  <c r="E152" i="1" s="1"/>
  <c r="D153" i="1"/>
  <c r="E153" i="1" s="1" a="1"/>
  <c r="E153" i="1" s="1"/>
  <c r="D154" i="1"/>
  <c r="E154" i="1" s="1" a="1"/>
  <c r="E154" i="1" s="1"/>
  <c r="D155" i="1"/>
  <c r="D156" i="1"/>
  <c r="E156" i="1" s="1" a="1"/>
  <c r="E156" i="1" s="1"/>
  <c r="D157" i="1"/>
  <c r="E157" i="1" s="1" a="1"/>
  <c r="E157" i="1" s="1"/>
  <c r="D158" i="1"/>
  <c r="E158" i="1" s="1" a="1"/>
  <c r="E158" i="1" s="1"/>
  <c r="D159" i="1"/>
  <c r="E159" i="1" s="1" a="1"/>
  <c r="E159" i="1" s="1"/>
  <c r="D160" i="1"/>
  <c r="E160" i="1" s="1" a="1"/>
  <c r="E160" i="1" s="1"/>
  <c r="D161" i="1"/>
  <c r="E161" i="1" s="1" a="1"/>
  <c r="E161" i="1" s="1"/>
  <c r="D162" i="1"/>
  <c r="E162" i="1" s="1" a="1"/>
  <c r="E162" i="1" s="1"/>
  <c r="D163" i="1"/>
  <c r="E163" i="1" s="1" a="1"/>
  <c r="E163" i="1" s="1"/>
  <c r="D164" i="1"/>
  <c r="E164" i="1" s="1" a="1"/>
  <c r="E164" i="1" s="1"/>
  <c r="D165" i="1"/>
  <c r="E165" i="1" s="1" a="1"/>
  <c r="E165" i="1" s="1"/>
  <c r="D166" i="1"/>
  <c r="E166" i="1" s="1" a="1"/>
  <c r="E166" i="1" s="1"/>
  <c r="D167" i="1"/>
  <c r="E167" i="1" s="1" a="1"/>
  <c r="E167" i="1" s="1"/>
  <c r="D168" i="1"/>
  <c r="E168" i="1" s="1" a="1"/>
  <c r="E168" i="1" s="1"/>
  <c r="D169" i="1"/>
  <c r="E169" i="1" s="1" a="1"/>
  <c r="E169" i="1" s="1"/>
  <c r="D170" i="1"/>
  <c r="E170" i="1" s="1" a="1"/>
  <c r="E170" i="1" s="1"/>
  <c r="D171" i="1"/>
  <c r="E171" i="1" s="1" a="1"/>
  <c r="E171" i="1" s="1"/>
  <c r="D172" i="1"/>
  <c r="E172" i="1" s="1" a="1"/>
  <c r="E172" i="1" s="1"/>
  <c r="D173" i="1"/>
  <c r="E173" i="1" s="1" a="1"/>
  <c r="E173" i="1" s="1"/>
  <c r="D174" i="1"/>
  <c r="E174" i="1" s="1" a="1"/>
  <c r="E174" i="1" s="1"/>
  <c r="D175" i="1"/>
  <c r="E175" i="1" s="1" a="1"/>
  <c r="E175" i="1" s="1"/>
  <c r="D176" i="1"/>
  <c r="E176" i="1" s="1" a="1"/>
  <c r="E176" i="1" s="1"/>
  <c r="D177" i="1"/>
  <c r="E177" i="1" s="1" a="1"/>
  <c r="E177" i="1" s="1"/>
  <c r="D178" i="1"/>
  <c r="E178" i="1" s="1" a="1"/>
  <c r="E178" i="1" s="1"/>
  <c r="D179" i="1"/>
  <c r="E179" i="1" s="1" a="1"/>
  <c r="E179" i="1" s="1"/>
  <c r="D180" i="1"/>
  <c r="E180" i="1" s="1" a="1"/>
  <c r="E180" i="1" s="1"/>
  <c r="D181" i="1"/>
  <c r="E181" i="1" s="1" a="1"/>
  <c r="E181" i="1" s="1"/>
  <c r="D182" i="1"/>
  <c r="E182" i="1" s="1" a="1"/>
  <c r="E182" i="1" s="1"/>
  <c r="D183" i="1"/>
  <c r="E183" i="1" s="1" a="1"/>
  <c r="E183" i="1" s="1"/>
  <c r="D184" i="1"/>
  <c r="E184" i="1" s="1" a="1"/>
  <c r="E184" i="1" s="1"/>
  <c r="D185" i="1"/>
  <c r="E185" i="1" s="1" a="1"/>
  <c r="E185" i="1" s="1"/>
  <c r="D186" i="1"/>
  <c r="E186" i="1" s="1" a="1"/>
  <c r="E186" i="1" s="1"/>
  <c r="D187" i="1"/>
  <c r="E187" i="1" s="1" a="1"/>
  <c r="E187" i="1" s="1"/>
  <c r="D188" i="1"/>
  <c r="E188" i="1" s="1" a="1"/>
  <c r="E188" i="1" s="1"/>
  <c r="D189" i="1"/>
  <c r="E189" i="1" s="1" a="1"/>
  <c r="E189" i="1" s="1"/>
  <c r="D190" i="1"/>
  <c r="E190" i="1" s="1" a="1"/>
  <c r="E190" i="1" s="1"/>
  <c r="D191" i="1"/>
  <c r="E191" i="1" s="1" a="1"/>
  <c r="E191" i="1" s="1"/>
  <c r="D192" i="1"/>
  <c r="E192" i="1" s="1" a="1"/>
  <c r="E192" i="1" s="1"/>
  <c r="D193" i="1"/>
  <c r="E193" i="1" s="1" a="1"/>
  <c r="E193" i="1" s="1"/>
  <c r="D194" i="1"/>
  <c r="E194" i="1" s="1" a="1"/>
  <c r="E194" i="1" s="1"/>
  <c r="D195" i="1"/>
  <c r="E195" i="1" s="1" a="1"/>
  <c r="E195" i="1" s="1"/>
  <c r="D196" i="1"/>
  <c r="E196" i="1" s="1" a="1"/>
  <c r="E196" i="1" s="1"/>
  <c r="D197" i="1"/>
  <c r="E197" i="1" s="1" a="1"/>
  <c r="E197" i="1" s="1"/>
  <c r="D198" i="1"/>
  <c r="E198" i="1" s="1" a="1"/>
  <c r="E198" i="1" s="1"/>
  <c r="D199" i="1"/>
  <c r="E199" i="1" s="1" a="1"/>
  <c r="E199" i="1" s="1"/>
  <c r="D200" i="1"/>
  <c r="E200" i="1" s="1" a="1"/>
  <c r="E200" i="1" s="1"/>
  <c r="D201" i="1"/>
  <c r="E201" i="1" s="1" a="1"/>
  <c r="E201" i="1" s="1"/>
  <c r="D202" i="1"/>
  <c r="E202" i="1" s="1" a="1"/>
  <c r="E202" i="1" s="1"/>
  <c r="E155" i="1" a="1"/>
  <c r="E155" i="1" s="1"/>
  <c r="D149" i="1"/>
  <c r="E149" i="1" s="1" a="1"/>
  <c r="E149" i="1" s="1"/>
  <c r="D148" i="1"/>
  <c r="E148" i="1" s="1" a="1"/>
  <c r="E148" i="1" s="1"/>
  <c r="D92" i="1"/>
  <c r="E92" i="1" s="1" a="1"/>
  <c r="E92" i="1" s="1"/>
  <c r="D93" i="1"/>
  <c r="E93" i="1" s="1" a="1"/>
  <c r="E93" i="1" s="1"/>
  <c r="D94" i="1"/>
  <c r="E94" i="1" s="1" a="1"/>
  <c r="E94" i="1" s="1"/>
  <c r="D95" i="1"/>
  <c r="E95" i="1" s="1" a="1"/>
  <c r="E95" i="1" s="1"/>
  <c r="D96" i="1"/>
  <c r="E96" i="1" s="1" a="1"/>
  <c r="E96" i="1" s="1"/>
  <c r="D97" i="1"/>
  <c r="E97" i="1" s="1" a="1"/>
  <c r="E97" i="1" s="1"/>
  <c r="D98" i="1"/>
  <c r="E98" i="1" s="1" a="1"/>
  <c r="E98" i="1" s="1"/>
  <c r="D99" i="1"/>
  <c r="E99" i="1" s="1" a="1"/>
  <c r="E99" i="1" s="1"/>
  <c r="D100" i="1"/>
  <c r="E100" i="1" s="1" a="1"/>
  <c r="E100" i="1" s="1"/>
  <c r="D101" i="1"/>
  <c r="E101" i="1" s="1" a="1"/>
  <c r="E101" i="1" s="1"/>
  <c r="D102" i="1"/>
  <c r="E102" i="1" s="1" a="1"/>
  <c r="E102" i="1" s="1"/>
  <c r="D103" i="1"/>
  <c r="E103" i="1" s="1" a="1"/>
  <c r="E103" i="1" s="1"/>
  <c r="D104" i="1"/>
  <c r="E104" i="1" s="1" a="1"/>
  <c r="E104" i="1" s="1"/>
  <c r="D105" i="1"/>
  <c r="E105" i="1" s="1" a="1"/>
  <c r="E105" i="1" s="1"/>
  <c r="D106" i="1"/>
  <c r="E106" i="1" s="1" a="1"/>
  <c r="E106" i="1" s="1"/>
  <c r="D107" i="1"/>
  <c r="E107" i="1" s="1" a="1"/>
  <c r="E107" i="1" s="1"/>
  <c r="D108" i="1"/>
  <c r="E108" i="1" s="1" a="1"/>
  <c r="E108" i="1" s="1"/>
  <c r="D109" i="1"/>
  <c r="E109" i="1" s="1" a="1"/>
  <c r="E109" i="1" s="1"/>
  <c r="D110" i="1"/>
  <c r="E110" i="1" s="1" a="1"/>
  <c r="E110" i="1" s="1"/>
  <c r="D111" i="1"/>
  <c r="E111" i="1" s="1" a="1"/>
  <c r="E111" i="1" s="1"/>
  <c r="D112" i="1"/>
  <c r="E112" i="1" s="1" a="1"/>
  <c r="E112" i="1" s="1"/>
  <c r="D113" i="1"/>
  <c r="E113" i="1" s="1" a="1"/>
  <c r="E113" i="1" s="1"/>
  <c r="D114" i="1"/>
  <c r="E114" i="1" s="1" a="1"/>
  <c r="E114" i="1" s="1"/>
  <c r="D115" i="1"/>
  <c r="E115" i="1" s="1" a="1"/>
  <c r="E115" i="1" s="1"/>
  <c r="D116" i="1"/>
  <c r="E116" i="1" s="1" a="1"/>
  <c r="E116" i="1" s="1"/>
  <c r="D117" i="1"/>
  <c r="E117" i="1" s="1" a="1"/>
  <c r="E117" i="1" s="1"/>
  <c r="D118" i="1"/>
  <c r="E118" i="1" s="1" a="1"/>
  <c r="E118" i="1" s="1"/>
  <c r="D119" i="1"/>
  <c r="E119" i="1" s="1" a="1"/>
  <c r="E119" i="1" s="1"/>
  <c r="D120" i="1"/>
  <c r="E120" i="1" s="1" a="1"/>
  <c r="E120" i="1" s="1"/>
  <c r="D121" i="1"/>
  <c r="E121" i="1" s="1" a="1"/>
  <c r="E121" i="1" s="1"/>
  <c r="D122" i="1"/>
  <c r="E122" i="1" s="1" a="1"/>
  <c r="E122" i="1" s="1"/>
  <c r="D123" i="1"/>
  <c r="E123" i="1" s="1" a="1"/>
  <c r="E123" i="1" s="1"/>
  <c r="D124" i="1"/>
  <c r="E124" i="1" s="1" a="1"/>
  <c r="E124" i="1" s="1"/>
  <c r="D125" i="1"/>
  <c r="E125" i="1" s="1" a="1"/>
  <c r="E125" i="1" s="1"/>
  <c r="D126" i="1"/>
  <c r="E126" i="1" s="1" a="1"/>
  <c r="E126" i="1" s="1"/>
  <c r="D127" i="1"/>
  <c r="E127" i="1" s="1" a="1"/>
  <c r="E127" i="1" s="1"/>
  <c r="D128" i="1"/>
  <c r="E128" i="1" s="1" a="1"/>
  <c r="E128" i="1" s="1"/>
  <c r="D129" i="1"/>
  <c r="E129" i="1" s="1" a="1"/>
  <c r="E129" i="1" s="1"/>
  <c r="D130" i="1"/>
  <c r="E130" i="1" s="1" a="1"/>
  <c r="E130" i="1" s="1"/>
  <c r="D131" i="1"/>
  <c r="E131" i="1" s="1" a="1"/>
  <c r="E131" i="1" s="1"/>
  <c r="D132" i="1"/>
  <c r="E132" i="1" s="1" a="1"/>
  <c r="E132" i="1" s="1"/>
  <c r="D133" i="1"/>
  <c r="E133" i="1" s="1" a="1"/>
  <c r="E133" i="1" s="1"/>
  <c r="D134" i="1"/>
  <c r="E134" i="1" s="1" a="1"/>
  <c r="E134" i="1" s="1"/>
  <c r="D135" i="1"/>
  <c r="E135" i="1" s="1" a="1"/>
  <c r="E135" i="1" s="1"/>
  <c r="D136" i="1"/>
  <c r="E136" i="1" s="1" a="1"/>
  <c r="E136" i="1" s="1"/>
  <c r="D137" i="1"/>
  <c r="E137" i="1" s="1" a="1"/>
  <c r="E137" i="1" s="1"/>
  <c r="D138" i="1"/>
  <c r="E138" i="1" s="1" a="1"/>
  <c r="E138" i="1" s="1"/>
  <c r="D139" i="1"/>
  <c r="E139" i="1" s="1" a="1"/>
  <c r="E139" i="1" s="1"/>
  <c r="D140" i="1"/>
  <c r="E140" i="1" s="1" a="1"/>
  <c r="E140" i="1" s="1"/>
  <c r="D141" i="1"/>
  <c r="E141" i="1" s="1" a="1"/>
  <c r="E141" i="1" s="1"/>
  <c r="D142" i="1"/>
  <c r="E142" i="1" s="1" a="1"/>
  <c r="E142" i="1" s="1"/>
  <c r="D143" i="1"/>
  <c r="E143" i="1" s="1" a="1"/>
  <c r="E143" i="1" s="1"/>
  <c r="D144" i="1"/>
  <c r="E144" i="1" s="1" a="1"/>
  <c r="E144" i="1" s="1"/>
  <c r="D145" i="1"/>
  <c r="E145" i="1" s="1" a="1"/>
  <c r="E145" i="1" s="1"/>
  <c r="D146" i="1"/>
  <c r="E146" i="1" s="1" a="1"/>
  <c r="E146" i="1" s="1"/>
  <c r="D147" i="1"/>
  <c r="E147" i="1" s="1" a="1"/>
  <c r="E147" i="1" s="1"/>
  <c r="D91" i="1"/>
  <c r="E91" i="1" s="1" a="1"/>
  <c r="E91" i="1" s="1"/>
  <c r="D90" i="1"/>
  <c r="E90" i="1" s="1" a="1"/>
  <c r="E90" i="1" s="1"/>
  <c r="G41" i="4"/>
  <c r="G40" i="4"/>
  <c r="G39" i="4"/>
  <c r="G34" i="4"/>
  <c r="G33" i="4"/>
  <c r="G31" i="4"/>
  <c r="G32" i="4"/>
  <c r="G35" i="4"/>
  <c r="G36" i="4"/>
  <c r="G37" i="4"/>
  <c r="G38" i="4"/>
  <c r="G42" i="4"/>
  <c r="G30" i="4"/>
  <c r="D2" i="1"/>
  <c r="E2" i="1" s="1" a="1"/>
  <c r="E2" i="1" s="1"/>
  <c r="D3" i="1"/>
  <c r="E3" i="1" s="1" a="1"/>
  <c r="E3" i="1" s="1"/>
  <c r="D4" i="1"/>
  <c r="E4" i="1" s="1" a="1"/>
  <c r="E4" i="1" s="1"/>
  <c r="D5" i="1"/>
  <c r="E5" i="1" s="1" a="1"/>
  <c r="E5" i="1" s="1"/>
  <c r="D6" i="1"/>
  <c r="E6" i="1" s="1" a="1"/>
  <c r="E6" i="1" s="1"/>
  <c r="D7" i="1"/>
  <c r="E7" i="1" s="1" a="1"/>
  <c r="E7" i="1" s="1"/>
  <c r="D8" i="1"/>
  <c r="E8" i="1" s="1" a="1"/>
  <c r="E8" i="1" s="1"/>
  <c r="D9" i="1"/>
  <c r="E9" i="1" s="1" a="1"/>
  <c r="E9" i="1" s="1"/>
  <c r="D10" i="1"/>
  <c r="E10" i="1" s="1" a="1"/>
  <c r="E10" i="1" s="1"/>
  <c r="D11" i="1"/>
  <c r="E11" i="1" s="1" a="1"/>
  <c r="E11" i="1" s="1"/>
  <c r="D12" i="1"/>
  <c r="E12" i="1" s="1" a="1"/>
  <c r="E12" i="1" s="1"/>
  <c r="D13" i="1"/>
  <c r="E13" i="1" s="1" a="1"/>
  <c r="E13" i="1" s="1"/>
  <c r="D14" i="1"/>
  <c r="E14" i="1" s="1" a="1"/>
  <c r="E14" i="1" s="1"/>
  <c r="D15" i="1"/>
  <c r="E15" i="1" s="1" a="1"/>
  <c r="E15" i="1" s="1"/>
  <c r="D16" i="1"/>
  <c r="E16" i="1" s="1" a="1"/>
  <c r="E16" i="1" s="1"/>
  <c r="D17" i="1"/>
  <c r="E17" i="1" s="1" a="1"/>
  <c r="E17" i="1" s="1"/>
  <c r="D18" i="1"/>
  <c r="E18" i="1" s="1" a="1"/>
  <c r="E18" i="1" s="1"/>
  <c r="D19" i="1"/>
  <c r="E19" i="1" s="1" a="1"/>
  <c r="E19" i="1" s="1"/>
  <c r="D20" i="1"/>
  <c r="E20" i="1" s="1" a="1"/>
  <c r="E20" i="1" s="1"/>
  <c r="D21" i="1"/>
  <c r="E21" i="1" s="1" a="1"/>
  <c r="E21" i="1" s="1"/>
  <c r="D22" i="1"/>
  <c r="E22" i="1" s="1" a="1"/>
  <c r="E22" i="1" s="1"/>
  <c r="D23" i="1"/>
  <c r="E23" i="1" s="1" a="1"/>
  <c r="E23" i="1" s="1"/>
  <c r="D24" i="1"/>
  <c r="E24" i="1" s="1" a="1"/>
  <c r="E24" i="1" s="1"/>
  <c r="D25" i="1"/>
  <c r="E25" i="1" s="1" a="1"/>
  <c r="E25" i="1" s="1"/>
  <c r="D26" i="1"/>
  <c r="E26" i="1" s="1" a="1"/>
  <c r="E26" i="1" s="1"/>
  <c r="D27" i="1"/>
  <c r="E27" i="1" s="1" a="1"/>
  <c r="E27" i="1" s="1"/>
  <c r="D28" i="1"/>
  <c r="E28" i="1" s="1" a="1"/>
  <c r="E28" i="1" s="1"/>
  <c r="D29" i="1"/>
  <c r="E29" i="1" s="1" a="1"/>
  <c r="E29" i="1" s="1"/>
  <c r="D30" i="1"/>
  <c r="E30" i="1" s="1" a="1"/>
  <c r="E30" i="1" s="1"/>
  <c r="D31" i="1"/>
  <c r="E31" i="1" s="1" a="1"/>
  <c r="E31" i="1" s="1"/>
  <c r="D32" i="1"/>
  <c r="E32" i="1" s="1" a="1"/>
  <c r="E32" i="1" s="1"/>
  <c r="D33" i="1"/>
  <c r="E33" i="1" s="1" a="1"/>
  <c r="E33" i="1" s="1"/>
  <c r="D34" i="1"/>
  <c r="E34" i="1" s="1" a="1"/>
  <c r="E34" i="1" s="1"/>
  <c r="D35" i="1"/>
  <c r="E35" i="1" s="1" a="1"/>
  <c r="E35" i="1" s="1"/>
  <c r="D36" i="1"/>
  <c r="E36" i="1" s="1" a="1"/>
  <c r="E36" i="1" s="1"/>
  <c r="D37" i="1"/>
  <c r="E37" i="1" s="1" a="1"/>
  <c r="E37" i="1" s="1"/>
  <c r="D38" i="1"/>
  <c r="E38" i="1" s="1" a="1"/>
  <c r="E38" i="1" s="1"/>
  <c r="D39" i="1"/>
  <c r="E39" i="1" s="1" a="1"/>
  <c r="E39" i="1" s="1"/>
  <c r="D40" i="1"/>
  <c r="E40" i="1" s="1" a="1"/>
  <c r="E40" i="1" s="1"/>
  <c r="D41" i="1"/>
  <c r="E41" i="1" s="1" a="1"/>
  <c r="E41" i="1" s="1"/>
  <c r="D42" i="1"/>
  <c r="E42" i="1" s="1" a="1"/>
  <c r="E42" i="1" s="1"/>
  <c r="D43" i="1"/>
  <c r="E43" i="1" s="1" a="1"/>
  <c r="E43" i="1" s="1"/>
  <c r="D44" i="1"/>
  <c r="E44" i="1" s="1" a="1"/>
  <c r="E44" i="1" s="1"/>
  <c r="D45" i="1"/>
  <c r="E45" i="1" s="1" a="1"/>
  <c r="E45" i="1" s="1"/>
  <c r="D46" i="1"/>
  <c r="E46" i="1" s="1" a="1"/>
  <c r="E46" i="1" s="1"/>
  <c r="D47" i="1"/>
  <c r="E47" i="1" s="1" a="1"/>
  <c r="E47" i="1" s="1"/>
  <c r="D48" i="1"/>
  <c r="E48" i="1" s="1" a="1"/>
  <c r="E48" i="1" s="1"/>
  <c r="D49" i="1"/>
  <c r="E49" i="1" s="1" a="1"/>
  <c r="E49" i="1" s="1"/>
  <c r="D50" i="1"/>
  <c r="E50" i="1" s="1" a="1"/>
  <c r="E50" i="1" s="1"/>
  <c r="D51" i="1"/>
  <c r="E51" i="1" s="1" a="1"/>
  <c r="E51" i="1" s="1"/>
  <c r="D52" i="1"/>
  <c r="E52" i="1" s="1" a="1"/>
  <c r="E52" i="1" s="1"/>
  <c r="D53" i="1"/>
  <c r="E53" i="1" s="1" a="1"/>
  <c r="E53" i="1" s="1"/>
  <c r="D54" i="1"/>
  <c r="E54" i="1" s="1" a="1"/>
  <c r="E54" i="1" s="1"/>
  <c r="D55" i="1"/>
  <c r="E55" i="1" s="1" a="1"/>
  <c r="E55" i="1" s="1"/>
  <c r="D56" i="1"/>
  <c r="E56" i="1" s="1" a="1"/>
  <c r="E56" i="1" s="1"/>
  <c r="D57" i="1"/>
  <c r="E57" i="1" s="1" a="1"/>
  <c r="E57" i="1" s="1"/>
  <c r="D58" i="1"/>
  <c r="E58" i="1" s="1" a="1"/>
  <c r="E58" i="1" s="1"/>
  <c r="D59" i="1"/>
  <c r="E59" i="1" s="1" a="1"/>
  <c r="E59" i="1" s="1"/>
  <c r="D60" i="1"/>
  <c r="E60" i="1" s="1" a="1"/>
  <c r="E60" i="1" s="1"/>
  <c r="D61" i="1"/>
  <c r="E61" i="1" s="1" a="1"/>
  <c r="E61" i="1" s="1"/>
  <c r="D62" i="1"/>
  <c r="E62" i="1" s="1" a="1"/>
  <c r="E62" i="1" s="1"/>
  <c r="D63" i="1"/>
  <c r="E63" i="1" s="1" a="1"/>
  <c r="E63" i="1" s="1"/>
  <c r="D64" i="1"/>
  <c r="E64" i="1" s="1" a="1"/>
  <c r="E64" i="1" s="1"/>
  <c r="D65" i="1"/>
  <c r="E65" i="1" s="1" a="1"/>
  <c r="E65" i="1" s="1"/>
  <c r="D66" i="1"/>
  <c r="E66" i="1" s="1" a="1"/>
  <c r="E66" i="1" s="1"/>
  <c r="D67" i="1"/>
  <c r="E67" i="1" s="1" a="1"/>
  <c r="E67" i="1" s="1"/>
  <c r="D68" i="1"/>
  <c r="E68" i="1" s="1" a="1"/>
  <c r="E68" i="1" s="1"/>
  <c r="D69" i="1"/>
  <c r="E69" i="1" s="1" a="1"/>
  <c r="E69" i="1" s="1"/>
  <c r="D70" i="1"/>
  <c r="E70" i="1" s="1" a="1"/>
  <c r="E70" i="1" s="1"/>
  <c r="D71" i="1"/>
  <c r="E71" i="1" s="1" a="1"/>
  <c r="E71" i="1" s="1"/>
  <c r="D72" i="1"/>
  <c r="E72" i="1" s="1" a="1"/>
  <c r="E72" i="1" s="1"/>
  <c r="D73" i="1"/>
  <c r="E73" i="1" s="1" a="1"/>
  <c r="E73" i="1" s="1"/>
  <c r="D74" i="1"/>
  <c r="E74" i="1" s="1" a="1"/>
  <c r="E74" i="1" s="1"/>
  <c r="D75" i="1"/>
  <c r="E75" i="1" s="1" a="1"/>
  <c r="E75" i="1" s="1"/>
  <c r="D76" i="1"/>
  <c r="E76" i="1" s="1" a="1"/>
  <c r="E76" i="1" s="1"/>
  <c r="D77" i="1"/>
  <c r="E77" i="1" s="1" a="1"/>
  <c r="E77" i="1" s="1"/>
  <c r="D78" i="1"/>
  <c r="E78" i="1" s="1" a="1"/>
  <c r="E78" i="1" s="1"/>
  <c r="D79" i="1"/>
  <c r="E79" i="1" s="1" a="1"/>
  <c r="E79" i="1" s="1"/>
  <c r="D80" i="1"/>
  <c r="E80" i="1" s="1" a="1"/>
  <c r="E80" i="1" s="1"/>
  <c r="D81" i="1"/>
  <c r="E81" i="1" s="1" a="1"/>
  <c r="E81" i="1" s="1"/>
  <c r="D82" i="1"/>
  <c r="E82" i="1" s="1" a="1"/>
  <c r="E82" i="1" s="1"/>
  <c r="D83" i="1"/>
  <c r="E83" i="1" s="1" a="1"/>
  <c r="E83" i="1" s="1"/>
  <c r="D84" i="1"/>
  <c r="E84" i="1" s="1" a="1"/>
  <c r="E84" i="1" s="1"/>
  <c r="D85" i="1"/>
  <c r="E85" i="1" s="1" a="1"/>
  <c r="E85" i="1" s="1"/>
  <c r="D86" i="1"/>
  <c r="E86" i="1" s="1" a="1"/>
  <c r="E86" i="1" s="1"/>
  <c r="D87" i="1"/>
  <c r="E87" i="1" s="1" a="1"/>
  <c r="E87" i="1" s="1"/>
  <c r="D88" i="1"/>
  <c r="E88" i="1" s="1" a="1"/>
  <c r="E88" i="1" s="1"/>
  <c r="D89" i="1"/>
  <c r="E89" i="1" s="1" a="1"/>
  <c r="E8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<sst xmlns="http://schemas.openxmlformats.org/spreadsheetml/2006/main" count="3381" uniqueCount="1151">
  <si>
    <t>enum</t>
  </si>
  <si>
    <t>version</t>
  </si>
  <si>
    <t>version du 1er juillet 2021</t>
  </si>
  <si>
    <t>version corrective du 1er novembre</t>
  </si>
  <si>
    <t>version avec modèle complet sans contrôle de cohérence</t>
  </si>
  <si>
    <t>version de fin de validation incluant les contrôles de cohérences</t>
  </si>
  <si>
    <t>version de préparation de compatibilité audit/dpe</t>
  </si>
  <si>
    <t>version corrective de janvier 2023</t>
  </si>
  <si>
    <t>version correspondant à l'arrêté des seuils pour les petites surfaces</t>
  </si>
  <si>
    <t>version correspondant à l'obligation de saisie du numéro fiscal de local</t>
  </si>
  <si>
    <t>modele_dpe</t>
  </si>
  <si>
    <t>dpe 3cl 2021 méthode logement</t>
  </si>
  <si>
    <t>dpe neuf logement : rt2012</t>
  </si>
  <si>
    <t>dpe neuf logement : re2020</t>
  </si>
  <si>
    <t>dpe 2006 tertiaire et erp</t>
  </si>
  <si>
    <t>usage_fonctionnel_batiment</t>
  </si>
  <si>
    <t>j : structures d’accueil pour personnes âgées ou personnes handicapées</t>
  </si>
  <si>
    <t>l : salles d'auditions, de conférences, de réunions, de spectacles ou à usage multiple</t>
  </si>
  <si>
    <t>m : magasins de vente, centres commerciaux</t>
  </si>
  <si>
    <t>n : restaurants et débits de boisson</t>
  </si>
  <si>
    <t>o : hôtels et pensions de famille</t>
  </si>
  <si>
    <t>p : salles de danse et salles de jeux</t>
  </si>
  <si>
    <t>r : établissements d’éveil, d’enseignement, de formation, centres de vacances, centres de loisirs sans hébergement</t>
  </si>
  <si>
    <t>s : bibliothèques, centres de documentation</t>
  </si>
  <si>
    <t>t : salles d'exposition à vocation commerciale</t>
  </si>
  <si>
    <t>u : établissements de soins</t>
  </si>
  <si>
    <t>v : établissements de divers cultes</t>
  </si>
  <si>
    <t>w : administrations, banques, bureaux</t>
  </si>
  <si>
    <t>x : établissements sportifs couverts</t>
  </si>
  <si>
    <t>y : musées</t>
  </si>
  <si>
    <t>pa : établissements de plein air</t>
  </si>
  <si>
    <t>cts : chapiteaux, tentes et structures toile</t>
  </si>
  <si>
    <t>sg : structures gonflables</t>
  </si>
  <si>
    <t>ps : parcs de stationnement couverts</t>
  </si>
  <si>
    <t>oa : hôtels-restaurants d'altitude</t>
  </si>
  <si>
    <t>ga : gares accessibles au public (chemins de fer, téléphériques, remonte-pentes...)</t>
  </si>
  <si>
    <t>ef : établissements flottants (eaux intérieures)</t>
  </si>
  <si>
    <t>ref : refuges de montagne</t>
  </si>
  <si>
    <t>gha : habitation</t>
  </si>
  <si>
    <t>gho : hôtel</t>
  </si>
  <si>
    <t>ghr : enseignement</t>
  </si>
  <si>
    <t>ghs : dépôt d'archives</t>
  </si>
  <si>
    <t>ghtc : tour de contrôle</t>
  </si>
  <si>
    <t>ghu : usage sanitaire</t>
  </si>
  <si>
    <t>ghw : bureaux</t>
  </si>
  <si>
    <t>ghz : usage mixte</t>
  </si>
  <si>
    <t>locaux d'entreprise (bureaux)</t>
  </si>
  <si>
    <t>autres tertiaires non erp</t>
  </si>
  <si>
    <t>consentement_formulaire</t>
  </si>
  <si>
    <t>absence de consentement</t>
  </si>
  <si>
    <t>consentement fourni</t>
  </si>
  <si>
    <t>consentement non requis</t>
  </si>
  <si>
    <t>commanditaire</t>
  </si>
  <si>
    <t>propriétaire</t>
  </si>
  <si>
    <t>non propriétaire</t>
  </si>
  <si>
    <t>categorie_erp</t>
  </si>
  <si>
    <t>1ère catégorie</t>
  </si>
  <si>
    <t>2ème catégorie</t>
  </si>
  <si>
    <t>3ème catégorie</t>
  </si>
  <si>
    <t>4ème catégorie</t>
  </si>
  <si>
    <t>5ème catégorie</t>
  </si>
  <si>
    <t>methode_application_dpe_log</t>
  </si>
  <si>
    <t>dpe maison individuelle</t>
  </si>
  <si>
    <t>dpe appartement individuel chauffage individuel ecs individuel</t>
  </si>
  <si>
    <t>dpe appartement individuel chauffage collectif ecs individuel</t>
  </si>
  <si>
    <t>dpe appartement individuel chauffage individuel ecs collectif</t>
  </si>
  <si>
    <t>dpe appartement individuel chauffage collectif ecs collectif</t>
  </si>
  <si>
    <t>dpe immeuble collectif chauffage individuel ecs individuel</t>
  </si>
  <si>
    <t>dpe immeuble collectif chauffage collectif ecs individuel</t>
  </si>
  <si>
    <t>dpe immeuble collectif chauffage individuel ecs collectif</t>
  </si>
  <si>
    <t>dpe immeuble collectif chauffage collectif ecs collectif</t>
  </si>
  <si>
    <t>dpe appartement généré à partir des données dpe immeuble chauffage individuel ecs individuel</t>
  </si>
  <si>
    <t>dpe appartement généré à partir des données dpe immeuble chauffage collectif ecs individuel</t>
  </si>
  <si>
    <t>dpe appartement généré à partir des données dpe immeuble chauffage individuel ecs collectif</t>
  </si>
  <si>
    <t>dpe appartement généré à partir des données dpe immeuble chauffage collectif ecs collectif</t>
  </si>
  <si>
    <t>dpe issu d'une étude thermique réglementaire rt2012 bâtiment : maison individuelle</t>
  </si>
  <si>
    <t>dpe issu d'une étude thermique réglementaire rt2012 bâtiment : appartement chauffage collectif ecs collectif</t>
  </si>
  <si>
    <t>dpe issu d'une étude thermique réglementaire rt2012 bâtiment : appartement chauffage individuel ecs collectif</t>
  </si>
  <si>
    <t>dpe issu d'une étude thermique réglementaire rt2012 bâtiment : immeuble</t>
  </si>
  <si>
    <t>dpe issu d'une étude energie environement réglementaire re2020 bâtiment : maison individuelle</t>
  </si>
  <si>
    <t>dpe issu d'une étude energie environement réglementaire re2020 bâtiment : appartement chauffage collectif ecs collectif</t>
  </si>
  <si>
    <t>dpe issu d'une étude energie environement réglementaire re2020 bâtiment : appartement chauffage individuel ecs collectif</t>
  </si>
  <si>
    <t>dpe issu d'une étude energie environement réglementaire re2020 bâtiment : immeuble</t>
  </si>
  <si>
    <t>dpe issu d'une étude thermique réglementaire rt2012 bâtiment : appartement chauffage individuel ecs individuel</t>
  </si>
  <si>
    <t>dpe issu d'une étude thermique réglementaire rt2012 bâtiment : appartement chauffage collectif ecs individuel</t>
  </si>
  <si>
    <t>dpe issu d'une étude energie environement réglementaire re2020 bâtiment : appartement chauffage collectif ecs individuel</t>
  </si>
  <si>
    <t>dpe issu d'une étude energie environement réglementaire re2020 bâtiment : appartement chauffage individuel ecs individuel</t>
  </si>
  <si>
    <t>dpe immeuble collectif chauffage mixte (collectif-individuel) ecs mixte (collectif-individuel)</t>
  </si>
  <si>
    <t>dpe immeuble collectif chauffage mixte (collectif-individuel) ecs individuel</t>
  </si>
  <si>
    <t>dpe immeuble collectif chauffage mixte (collectif-individuel) ecs collectif</t>
  </si>
  <si>
    <t>dpe immeuble collectif chauffage individuel ecs mixte (collectif-individuel)</t>
  </si>
  <si>
    <t>dpe immeuble collectif chauffage collectif ecs mixte (collectif-individuel)</t>
  </si>
  <si>
    <t>dpe appartement individuel chauffage mixte (collectif-individuel) ecs individuel</t>
  </si>
  <si>
    <t>dpe appartement individuel chauffage mixte (collectif-individuel) ecs collectif</t>
  </si>
  <si>
    <t>dpe appartement généré à partir des données dpe immeuble chauffage mixte (collectif-individuel) ecs individuel</t>
  </si>
  <si>
    <t>dpe appartement généré à partir des données dpe immeuble chauffage mixte (collectif-individuel) ecs collectif</t>
  </si>
  <si>
    <t>dpe appartement individuel chauffage mixte (collectif-individuel) ecs mixte (collectif-individuel)</t>
  </si>
  <si>
    <t>dpe appartement individuel chauffage individuel ecs mixte (collectif-individuel)</t>
  </si>
  <si>
    <t>dpe appartement individuel chauffage collectif ecs mixte (collectif-individuel)</t>
  </si>
  <si>
    <t>dpe appartement généré à partir des données dpe immeuble chauffage mixte (collectif-individuel) ecs mixte (collectif-individuel)</t>
  </si>
  <si>
    <t>dpe appartement généré à partir des données dpe immeuble chauffage individuel ecs mixte (collectif-individuel)</t>
  </si>
  <si>
    <t>dpe appartement généré à partir des données dpe immeuble chauffage collectif ecs mixte (collectif-individuel)</t>
  </si>
  <si>
    <t>methode_application_dpe_ter</t>
  </si>
  <si>
    <t>dpe tertiaire facture</t>
  </si>
  <si>
    <t>dpe tertiaire bâtiment neuf</t>
  </si>
  <si>
    <t>dpe tertiaire vierge</t>
  </si>
  <si>
    <t>dpe tertiaire vierge neuf</t>
  </si>
  <si>
    <t>dpe tertiaire facture dans un bâtiment de logement</t>
  </si>
  <si>
    <t>dpe tertiaire bâtiment neuf dans un bâtiment de logement</t>
  </si>
  <si>
    <t>dpe tertiaire vierge dans un bâtiment de logement</t>
  </si>
  <si>
    <t>dpe tertiaire vierge neuf dans un bâtiment de logement</t>
  </si>
  <si>
    <t>sous_modele_dpe_ter</t>
  </si>
  <si>
    <t>bureaux, services administratifs, enseignement</t>
  </si>
  <si>
    <t>bâtiments à occupation continue</t>
  </si>
  <si>
    <t>autres</t>
  </si>
  <si>
    <t>centre commercial</t>
  </si>
  <si>
    <t>calcul_echantillonnage</t>
  </si>
  <si>
    <t>absence de méthode d’échantillonnage</t>
  </si>
  <si>
    <t>calcul de l’échantillonnage effectué par un logiciel validé</t>
  </si>
  <si>
    <t>calcul de l’échantillonnage effectué par le diagnostiqueur</t>
  </si>
  <si>
    <t>periode_construction</t>
  </si>
  <si>
    <t>avant 1948</t>
  </si>
  <si>
    <t>1948-1974</t>
  </si>
  <si>
    <t>1975-1977</t>
  </si>
  <si>
    <t>1978-1982</t>
  </si>
  <si>
    <t>1983-1988</t>
  </si>
  <si>
    <t>1989-2000</t>
  </si>
  <si>
    <t>2001-2005</t>
  </si>
  <si>
    <t>2006-2012</t>
  </si>
  <si>
    <t>2013-2021</t>
  </si>
  <si>
    <t>après 2021</t>
  </si>
  <si>
    <t>periode_isolation</t>
  </si>
  <si>
    <t>zone_climatique</t>
  </si>
  <si>
    <t>h1a</t>
  </si>
  <si>
    <t>h1b</t>
  </si>
  <si>
    <t>h1c</t>
  </si>
  <si>
    <t>h2a</t>
  </si>
  <si>
    <t>h2b</t>
  </si>
  <si>
    <t>h2c</t>
  </si>
  <si>
    <t>h2d</t>
  </si>
  <si>
    <t>h3</t>
  </si>
  <si>
    <t>classe_altitude</t>
  </si>
  <si>
    <t>inférieur à 400m</t>
  </si>
  <si>
    <t>400-800m</t>
  </si>
  <si>
    <t>supérieur à 800m</t>
  </si>
  <si>
    <t>methode_saisie_u</t>
  </si>
  <si>
    <t>non isolé</t>
  </si>
  <si>
    <t>isolation inconnue (table forfaitaire)</t>
  </si>
  <si>
    <t>epaisseur isolation saisie justifiée par mesure ou observation</t>
  </si>
  <si>
    <t>epaisseur isolation saisie justifiée à partir des documents justificatifs autorisés</t>
  </si>
  <si>
    <t>resistance isolation saisie justifiée observation de l'isolant installé et mesure de son épaisseur</t>
  </si>
  <si>
    <t>resistance isolation saisie justifiée à partir des documents justificatifs autorisés</t>
  </si>
  <si>
    <t>année d'isolation différente de l'année de construction saisie justifiée (table forfaitaire)</t>
  </si>
  <si>
    <t>année de construction saisie (table forfaitaire)</t>
  </si>
  <si>
    <t>saisie direct u justifiée (à partir des documents justificatifs autorisés)</t>
  </si>
  <si>
    <t>saisie direct u depuis rset/rsee( etude rt2012/re2020)</t>
  </si>
  <si>
    <t>methode_saisie_u0</t>
  </si>
  <si>
    <t>type de paroi inconnu (valeur par défaut)</t>
  </si>
  <si>
    <t>déterminé selon le matériau et épaisseur à partir de la table de valeur forfaitaire</t>
  </si>
  <si>
    <t>saisie direct u0 justifiée à partir des documents justificatifs autorisés</t>
  </si>
  <si>
    <t>saisie direct u0 correspondant à la performance de la paroi avec son isolation antérieure iti (umur_iti) lorsqu'il y a une surisolation ite réalisée</t>
  </si>
  <si>
    <t>u0 non saisi car le u est saisi connu et justifié.</t>
  </si>
  <si>
    <t>methode_saisie_uporte</t>
  </si>
  <si>
    <t>valeur forfaitaire</t>
  </si>
  <si>
    <t>valeur justifiée saisie à partir des documents justificatifs autorisés</t>
  </si>
  <si>
    <t>methode_saisie_pont_thermique</t>
  </si>
  <si>
    <t>saisie direct k depuis rset/rsee( etude rt2012/re2020)</t>
  </si>
  <si>
    <t>methode_saisie_perf_vitrage</t>
  </si>
  <si>
    <t>ug(opt),uw,ujn(opt) et sw saisi à l'aide des tables de valeurs forfaitaires et des relèves mesurées/observées</t>
  </si>
  <si>
    <t>ug saisi directementà partir des documents justificatifs autorisés , autres paramètres calculés avec les tables forfaitaires</t>
  </si>
  <si>
    <t>ug,uw saisi directement à partir des documents justificatifs autorisés , autres paramètres calculés avec les tables forfaitaires</t>
  </si>
  <si>
    <t>ug,uw,sw saisi directement à partir des documents justificatifs autorisés , ujn calculés avec les tables forfaitaires</t>
  </si>
  <si>
    <t>ug,uw,ujn saisi directement à partir des documents justificatifs autorisés , autres paramètres calculés avec les tables forfaitaires</t>
  </si>
  <si>
    <t>ug,uw,sw,ujn saisi directement à partir des documents justificatifs autorisés</t>
  </si>
  <si>
    <t>ujn, sw recalculés depuis rset/rsee( etude rt2012/re2020)</t>
  </si>
  <si>
    <t>uw,sw saisi directement à partir des documents justificatifs autorisés , ujn calculés avec les tables forfaitaires</t>
  </si>
  <si>
    <t>uw,ujn saisi directement à partir des documents justificatifs autorisés , sw calculés avec les tables forfaitaires</t>
  </si>
  <si>
    <t>uw,ujn, sw saisi directement à partir des documents justificatifs autorisés</t>
  </si>
  <si>
    <t>ujn, sw saisi directement à partir des documents justificatifs autorisés</t>
  </si>
  <si>
    <t>ujn saisi directement à partir des documents justificatifs autorisés, sw calculés avec les tables forfaitaires</t>
  </si>
  <si>
    <t>uw saisi directement à partir des documents justificatifs autorisés , ujn,sw calculés avec les tables forfaitaires</t>
  </si>
  <si>
    <t>sw saisi directement à partir des documents justificatifs autorisés , ujn,uw calculés avec les tables forfaitaires</t>
  </si>
  <si>
    <t>ug,sw saisi directement à partir des documents justificatifs autorisés , ujn,uw calculés avec les tables forfaitaires</t>
  </si>
  <si>
    <t>methode_saisie_carac_sys</t>
  </si>
  <si>
    <t>valeurs forfaitaires</t>
  </si>
  <si>
    <t>caractéristiques saisies à partir de la plaque signalétique ou d'une documentation technique du système à combustion : pn, autres données forfaitaires</t>
  </si>
  <si>
    <t>caractéristiques saisies à partir de la plaque signalétique ou d'une documentation technique du système à combustion : pn, rpn,rpint, autres données forfaitaires</t>
  </si>
  <si>
    <t>caractéristiques saisies à partir de la plaque signalétique ou d'une documentation technique du système à combustion : pn, rpn,rpint,qp0, autres données forfaitaires</t>
  </si>
  <si>
    <t>caractéristiques saisies à partir de la plaque signalétique ou d'une documentation technique du système à combustion : pn, rpn,rpint,qp0,temp_fonc_30,temp_fonc_100</t>
  </si>
  <si>
    <t>caractéristiques saisies à partir de la plaque signalétique ou d'une documentation technique du système thermodynamique : scop/cop/eer</t>
  </si>
  <si>
    <t>déterminé à partir du rset/rsee( etude rt2012/re2020)</t>
  </si>
  <si>
    <t>seer saisi pour permettre la saisie de réseau de froid ou de système de climatisations qui ne sont pas éléctriques</t>
  </si>
  <si>
    <t>methode_saisie_q4pa_conv</t>
  </si>
  <si>
    <t>déterminé à partir d'une mesure d'étanchéité à l'air de moins de deux ans</t>
  </si>
  <si>
    <t>methode_saisie_fact_couv_sol</t>
  </si>
  <si>
    <t>déterminé à partir d'un document justificatif autorisé</t>
  </si>
  <si>
    <t>classe_inertie</t>
  </si>
  <si>
    <t>très lourde</t>
  </si>
  <si>
    <t>lourde</t>
  </si>
  <si>
    <t>moyenne</t>
  </si>
  <si>
    <t>légère</t>
  </si>
  <si>
    <t>type_adjacence</t>
  </si>
  <si>
    <t>extérieur</t>
  </si>
  <si>
    <t>paroi enterrée</t>
  </si>
  <si>
    <t>vide sanitaire</t>
  </si>
  <si>
    <t>bâtiment ou local à usage autre que d'habitation</t>
  </si>
  <si>
    <t>terre-plein</t>
  </si>
  <si>
    <t>sous-sol non chauffé</t>
  </si>
  <si>
    <t>locaux non chauffés non accessible</t>
  </si>
  <si>
    <t>garage</t>
  </si>
  <si>
    <t>cellier</t>
  </si>
  <si>
    <t>espace tampon solarisé (véranda,loggia fermée)</t>
  </si>
  <si>
    <t>comble fortement ventilé</t>
  </si>
  <si>
    <t>comble faiblement ventilé</t>
  </si>
  <si>
    <t>comble très faiblement ventilé</t>
  </si>
  <si>
    <t>circulation sans ouverture directe sur l'extérieur</t>
  </si>
  <si>
    <t>circulation avec ouverture directe sur l'extérieur</t>
  </si>
  <si>
    <t>circulation avec bouche ou gaine de désenfumage ouverte en permanence</t>
  </si>
  <si>
    <t>hall d'entrée avec dispositif de fermeture automatique</t>
  </si>
  <si>
    <t>hall d'entrée sans dispositif de fermeture automatique</t>
  </si>
  <si>
    <t>garage privé collectif</t>
  </si>
  <si>
    <t>local tertiaire à l'intérieur de l'immeuble en contact avec l'appartement</t>
  </si>
  <si>
    <t>autres dépendances</t>
  </si>
  <si>
    <t>local non déperditif ( local à usage d'habitation chauffé)</t>
  </si>
  <si>
    <t>cfg_isolation_lnc</t>
  </si>
  <si>
    <t>local chauffé non accessible</t>
  </si>
  <si>
    <t>lc non isolé + lnc non isolé</t>
  </si>
  <si>
    <t>lc non isolé + lnc isolé</t>
  </si>
  <si>
    <t>lc isolé + lnc non isolé</t>
  </si>
  <si>
    <t>lc isolé + lnc isolé</t>
  </si>
  <si>
    <t>lc isolé + espace tampon solarisé orienté nord</t>
  </si>
  <si>
    <t>lc isolé + espace tampon solarisé orienté sud</t>
  </si>
  <si>
    <t>lc isolé + espace tampon solarisé orienté est/ouest</t>
  </si>
  <si>
    <t>lc non isolé + espace tampon solarisé orienté nord</t>
  </si>
  <si>
    <t>lc non isolé + espace tampon solarisé orienté sud</t>
  </si>
  <si>
    <t>lc non isolé + espace tampon solarisé orienté est/ouest</t>
  </si>
  <si>
    <t>materiaux_structure_mur</t>
  </si>
  <si>
    <t>inconnu</t>
  </si>
  <si>
    <t>murs en pierre de taille et moellons constitué d'un seul matériaux</t>
  </si>
  <si>
    <t>murs en pierre de taille et moellons avec remplissage tout venant</t>
  </si>
  <si>
    <t>murs en pisé ou béton de terre stabilisé (à partir d'argile crue)</t>
  </si>
  <si>
    <t>murs en pan de bois sans remplissage tout venant</t>
  </si>
  <si>
    <t>murs en pan de bois avec remplissage tout venant</t>
  </si>
  <si>
    <t>murs bois (rondin)</t>
  </si>
  <si>
    <t>murs en briques pleines simples</t>
  </si>
  <si>
    <t>murs en briques pleines doubles avec lame d'air</t>
  </si>
  <si>
    <t>murs en briques creuses</t>
  </si>
  <si>
    <t>murs en blocs de béton pleins</t>
  </si>
  <si>
    <t>murs en blocs de béton creux</t>
  </si>
  <si>
    <t>murs en béton banché</t>
  </si>
  <si>
    <t>murs en béton de mâchefer</t>
  </si>
  <si>
    <t>brique terre cuite alvéolaire</t>
  </si>
  <si>
    <t>béton cellulaire avant 2013</t>
  </si>
  <si>
    <t>béton cellulaire à partir de 2013</t>
  </si>
  <si>
    <t>murs en ossature bois avec isolant en remplissage ≥ 2006</t>
  </si>
  <si>
    <t>murs sandwich béton/isolant/béton (sans isolation rapportée)</t>
  </si>
  <si>
    <t>cloison de plâtre</t>
  </si>
  <si>
    <t>autre matériau traditionel ancien</t>
  </si>
  <si>
    <t>autre matériau innovant récent</t>
  </si>
  <si>
    <t>autre matériau non répertorié</t>
  </si>
  <si>
    <t>murs en ossature bois avec isolant en remplissage 2001-2005</t>
  </si>
  <si>
    <t>murs en ossature bois sans remplissage</t>
  </si>
  <si>
    <t>murs en ossature bois avec isolant en remplissage &lt;2001</t>
  </si>
  <si>
    <t>murs en ossature bois avec remplissage tout venant</t>
  </si>
  <si>
    <t>type_isolation</t>
  </si>
  <si>
    <t>iti</t>
  </si>
  <si>
    <t>ite</t>
  </si>
  <si>
    <t>itr</t>
  </si>
  <si>
    <t>iti+ite</t>
  </si>
  <si>
    <t>iti+itr</t>
  </si>
  <si>
    <t>ite+itr</t>
  </si>
  <si>
    <t>isolé mais type d'isolation inconnu</t>
  </si>
  <si>
    <t>type_doublage</t>
  </si>
  <si>
    <t>absence de doublage</t>
  </si>
  <si>
    <t>doublage indéterminé ou lame d'air inf 15 mm</t>
  </si>
  <si>
    <t>doublage indéterminé avec lame d'air sup 15 mm</t>
  </si>
  <si>
    <t>doublage connu (plâtre brique bois)</t>
  </si>
  <si>
    <t>type_plancher_bas</t>
  </si>
  <si>
    <t>plancher avec ou sans remplissage</t>
  </si>
  <si>
    <t>plancher entre solives métalliques avec ou sans remplissage</t>
  </si>
  <si>
    <t>plancher entre solives bois avec ou sans remplissage</t>
  </si>
  <si>
    <t>plancher bois sur solives métalliques</t>
  </si>
  <si>
    <t>bardeaux et remplissage</t>
  </si>
  <si>
    <t>voutains sur solives métalliques</t>
  </si>
  <si>
    <t>voutains en briques ou moellons</t>
  </si>
  <si>
    <t>dalle béton</t>
  </si>
  <si>
    <t>plancher bois sur solives bois</t>
  </si>
  <si>
    <t>plancher lourd type entrevous terre-cuite, poutrelles béton</t>
  </si>
  <si>
    <t>plancher à entrevous isolant</t>
  </si>
  <si>
    <t>autre type de plancher non répertorié</t>
  </si>
  <si>
    <t>type_plancher_haut</t>
  </si>
  <si>
    <t>plafond avec ou sans remplissage</t>
  </si>
  <si>
    <t>plafond entre solives métalliques avec ou sans remplissage</t>
  </si>
  <si>
    <t>plafond entre solives bois avec ou sans remplissage</t>
  </si>
  <si>
    <t>plafond bois sur solives métalliques</t>
  </si>
  <si>
    <t>plafond bois sous solives métalliques</t>
  </si>
  <si>
    <t>plafond bois sur solives bois</t>
  </si>
  <si>
    <t>plafond bois sous solives bois</t>
  </si>
  <si>
    <t>plafond lourd type entrevous terre-cuite, poutrelles béton</t>
  </si>
  <si>
    <t>combles aménagés sous rampant</t>
  </si>
  <si>
    <t>toiture en chaume</t>
  </si>
  <si>
    <t>plafond en plaque de plâtre</t>
  </si>
  <si>
    <t>autre type de plafond non répertorié</t>
  </si>
  <si>
    <t>toitures en bac acier</t>
  </si>
  <si>
    <t>type_vitrage</t>
  </si>
  <si>
    <t>simple vitrage</t>
  </si>
  <si>
    <t>double vitrage</t>
  </si>
  <si>
    <t>triple vitrage</t>
  </si>
  <si>
    <t>survitrage</t>
  </si>
  <si>
    <t>brique de verre</t>
  </si>
  <si>
    <t>polycarbonate</t>
  </si>
  <si>
    <t>inclinaison_vitrage</t>
  </si>
  <si>
    <t>inf25°</t>
  </si>
  <si>
    <t>25°-75°</t>
  </si>
  <si>
    <t>sup75°</t>
  </si>
  <si>
    <t>horizontal</t>
  </si>
  <si>
    <t>type_materiaux_menuiserie</t>
  </si>
  <si>
    <t>bois</t>
  </si>
  <si>
    <t>bois/métal</t>
  </si>
  <si>
    <t>pvc</t>
  </si>
  <si>
    <t>métal avec rupture de pont thermique</t>
  </si>
  <si>
    <t>métal sans rupture de pont thermique</t>
  </si>
  <si>
    <t>type_baie</t>
  </si>
  <si>
    <t>paroi en brique de verre pleine</t>
  </si>
  <si>
    <t>paroi en brique de verre creuse</t>
  </si>
  <si>
    <t>paroi en polycarbonnate</t>
  </si>
  <si>
    <t>fenêtres battantes</t>
  </si>
  <si>
    <t>fenêtres coulissantes</t>
  </si>
  <si>
    <t>portes-fenêtres coulissantes</t>
  </si>
  <si>
    <t>portes-fenêtres battantes sans soubassement</t>
  </si>
  <si>
    <t>portes-fenêtres battantes avec soubassement</t>
  </si>
  <si>
    <t>type_pose</t>
  </si>
  <si>
    <t>nu extérieur</t>
  </si>
  <si>
    <t>nu intérieur</t>
  </si>
  <si>
    <t>tunnel</t>
  </si>
  <si>
    <t>sans objet (brique de verre/polycarbonate)</t>
  </si>
  <si>
    <t>type_gaz_lame</t>
  </si>
  <si>
    <t>air</t>
  </si>
  <si>
    <t>argon ou krypton</t>
  </si>
  <si>
    <t>orientation</t>
  </si>
  <si>
    <t>sud</t>
  </si>
  <si>
    <t>nord</t>
  </si>
  <si>
    <t>est</t>
  </si>
  <si>
    <t>ouest</t>
  </si>
  <si>
    <t>type_fermeture</t>
  </si>
  <si>
    <t>abscence de fermeture pour la baie vitrée</t>
  </si>
  <si>
    <t>jalousie accordéon, fermeture à lames orientables y compris les vénitiens extérieurs tout métal, volets battants ou persiennes avec ajours fixes</t>
  </si>
  <si>
    <t>fermeture sans ajours en position déployée, volets roulants alu</t>
  </si>
  <si>
    <t>volets roulants pvc ou bois (e inf 12 mm)</t>
  </si>
  <si>
    <t>persienne coulissante et volet battant pvc ou bois (e inf 22 mm)</t>
  </si>
  <si>
    <t>volets roulants pvc ou bois (e sup 12 mm)</t>
  </si>
  <si>
    <t>persienne coulissante et volet battant pvc ou bois (e sup 22 mm)</t>
  </si>
  <si>
    <t>fermeture isolée sans ajours en position déployée</t>
  </si>
  <si>
    <t>type_porte</t>
  </si>
  <si>
    <t>porte simple en bois porte opaque pleine</t>
  </si>
  <si>
    <t>porte simple en bois porte avec moins de 30% de vitrage simple</t>
  </si>
  <si>
    <t>porte simple en bois porte avec 30-60% de vitrage simple</t>
  </si>
  <si>
    <t>porte simple en bois porte avec double vitrage</t>
  </si>
  <si>
    <t>porte simple en pvc porte opaque pleine</t>
  </si>
  <si>
    <t>porte simple en pvc porte avec moins de 30% de vitrage simple</t>
  </si>
  <si>
    <t>porte simple en pvc porte avec 30-60% de vitrage simple</t>
  </si>
  <si>
    <t>porte simple en pvc porte avec double vitrage</t>
  </si>
  <si>
    <t>porte simple en métal porte opaque pleine</t>
  </si>
  <si>
    <t>porte simple en métal porte avec vitrage simple</t>
  </si>
  <si>
    <t>porte simple en métal porte avec moins de 30% de double vitrage</t>
  </si>
  <si>
    <t>porte simple en métal porte avec 30-60% de double vitrage</t>
  </si>
  <si>
    <t>toute menuiserie porte opaque pleine isolée</t>
  </si>
  <si>
    <t>toute menuiserie porte précédée d’un sas</t>
  </si>
  <si>
    <t>toute menuiserie porte isolée avec double vitrage</t>
  </si>
  <si>
    <t>autre type de porte</t>
  </si>
  <si>
    <t>type_liaison</t>
  </si>
  <si>
    <t>plancher bas / mur</t>
  </si>
  <si>
    <t>plancher intermédiaire lourd / mur</t>
  </si>
  <si>
    <t>plancher haut lourd / mur</t>
  </si>
  <si>
    <t>refend / mur</t>
  </si>
  <si>
    <t>menuiserie / mur</t>
  </si>
  <si>
    <t>type_ventilation</t>
  </si>
  <si>
    <t>ventilation par ouverture des fenêtres</t>
  </si>
  <si>
    <t>ventilation par entrées d'air hautes et basses</t>
  </si>
  <si>
    <t>vmc sf auto réglable avant 1982</t>
  </si>
  <si>
    <t>vmc sf auto réglable de 1982 à 2000</t>
  </si>
  <si>
    <t>vmc sf auto réglable de 2001 à 2012</t>
  </si>
  <si>
    <t>vmc sf auto réglable après 2012</t>
  </si>
  <si>
    <t>vmc sf hygro a avant 2001</t>
  </si>
  <si>
    <t>vmc sf hygro a de 2001 à 2012</t>
  </si>
  <si>
    <t>vmc sf hygro a après 2012</t>
  </si>
  <si>
    <t>vmc sf gaz avant 2001</t>
  </si>
  <si>
    <t>vmc sf gaz de 2001 à 2012</t>
  </si>
  <si>
    <t>vmc sf gaz après 2012</t>
  </si>
  <si>
    <t>vmc sf hygro b avant 2001</t>
  </si>
  <si>
    <t>vmc sf hygro b de 2001 à 2012</t>
  </si>
  <si>
    <t>vmc sf hygro b après 2012</t>
  </si>
  <si>
    <t>vmc basse pression auto-réglable</t>
  </si>
  <si>
    <t>vmc basse pression hygro a</t>
  </si>
  <si>
    <t>vmc basse pression hygro b</t>
  </si>
  <si>
    <t>vmc df individuelle avec échangeur avant 2013</t>
  </si>
  <si>
    <t>vmc df individuelle avec échangeur à partir de 2013</t>
  </si>
  <si>
    <t>vmc df collective avec échangeur avant 2013</t>
  </si>
  <si>
    <t>vmc df collective avec échangeur à partir de 2013</t>
  </si>
  <si>
    <t>vmc df sans échangeur avant 2013</t>
  </si>
  <si>
    <t>vmc df sans échangeur après 2012</t>
  </si>
  <si>
    <t>ventilation naturelle par conduit</t>
  </si>
  <si>
    <t>ventilation hybride avant 2001</t>
  </si>
  <si>
    <t>ventilation hybride de 2001 à 2012</t>
  </si>
  <si>
    <t>ventilation hybride après 2012</t>
  </si>
  <si>
    <t>ventilation hybride avec entrées d'air hygro avant 2001</t>
  </si>
  <si>
    <t>ventilation hybride avec entrées d'air hygro de 2001 à 2012</t>
  </si>
  <si>
    <t>ventilation hybride avec entrées d'air hygro après 2012</t>
  </si>
  <si>
    <t>ventilation mécanique sur conduit existant avant 2013</t>
  </si>
  <si>
    <t>ventilation mécanique sur conduit existant à partir de 2013</t>
  </si>
  <si>
    <t>ventilation naturelle par conduit avec entrées d'air hygro</t>
  </si>
  <si>
    <t>puits climatique sans échangeur avant 2013</t>
  </si>
  <si>
    <t>puits climatique sans échangeur à partir de 2013</t>
  </si>
  <si>
    <t>puits climatique avec échangeur avant 2013</t>
  </si>
  <si>
    <t>puits climatique avec échangeur à partir de 2013</t>
  </si>
  <si>
    <t>periode_installation_fr</t>
  </si>
  <si>
    <t>avant 2008</t>
  </si>
  <si>
    <t>2008-2014</t>
  </si>
  <si>
    <t>a partir de 2015</t>
  </si>
  <si>
    <t>type_generateur_fr</t>
  </si>
  <si>
    <t>pac air/air installée avant 2008</t>
  </si>
  <si>
    <t>pac air/air installée entre 2008 et 2014</t>
  </si>
  <si>
    <t>pac air/air installée à partir de 2015</t>
  </si>
  <si>
    <t>pac air/eau installée avant 2008</t>
  </si>
  <si>
    <t>pac air/eau installée entre 2008 et 2014</t>
  </si>
  <si>
    <t>pac air/eau installée entre 2015 et 2016</t>
  </si>
  <si>
    <t>pac air/eau installée après 2017</t>
  </si>
  <si>
    <t>pac eau/eau installée avant 2008</t>
  </si>
  <si>
    <t>pac eau/eau installée entre 2008 et 2014</t>
  </si>
  <si>
    <t>pac eau/eau installée entre 2015 et 2016</t>
  </si>
  <si>
    <t>pac eau/eau installée après 2017</t>
  </si>
  <si>
    <t>pac eau glycolée/eau installée avant 2008</t>
  </si>
  <si>
    <t>pac eau glycolée/eau installée entre 2008 et 2014</t>
  </si>
  <si>
    <t>pac eau glycolée/eau installée entre 2015 et 2016</t>
  </si>
  <si>
    <t>pac eau glycolée/eau installée après 2017</t>
  </si>
  <si>
    <t>pac géothermique installée avant 2008</t>
  </si>
  <si>
    <t>pac géothermique installée entre 2008 et 2014</t>
  </si>
  <si>
    <t>pac géothermique installée entre 2015 et 2016</t>
  </si>
  <si>
    <t>pac géothermique installée après 2017</t>
  </si>
  <si>
    <t>autre système thermodynamique électrique</t>
  </si>
  <si>
    <t>autre système thermodynamique gaz</t>
  </si>
  <si>
    <t>autre système de refroidissement</t>
  </si>
  <si>
    <t>réseau de froid urbain</t>
  </si>
  <si>
    <t>type_installation_solaire</t>
  </si>
  <si>
    <t>chauffage solaire (seul ou combiné)</t>
  </si>
  <si>
    <t>ecs solaire seule sup 5 ans</t>
  </si>
  <si>
    <t>ecs solaire seule inf 5 ans</t>
  </si>
  <si>
    <t>chauffage + ecs solaire</t>
  </si>
  <si>
    <t>type_installation</t>
  </si>
  <si>
    <t>installation individuelle</t>
  </si>
  <si>
    <t>installation collective</t>
  </si>
  <si>
    <t>installation collective multi-bâtiment : modélisée comme un réseau de chaleur</t>
  </si>
  <si>
    <t>installation hybride collective-individuelle (chauffage base + appoint individuel ou convecteur bi-jonction)</t>
  </si>
  <si>
    <t>methode_calcul_conso</t>
  </si>
  <si>
    <t>calcul simple</t>
  </si>
  <si>
    <t>installation collective rapportée à un logement : cas générateur à combustion virtuel ou ecs collective virtuelle</t>
  </si>
  <si>
    <t>installation collective rapportée à un logement : cas générateurs simples (réseau de chaleur, effet joule, pac, cet)</t>
  </si>
  <si>
    <t>échantillonage des installations individuelles pour le calcul dpe immeuble (calcul effectué sur un logement représentatif d'un ensemble de logements puis extrapolation sur l'ensemble de logements du groupe)</t>
  </si>
  <si>
    <t>installation collective immeuble mixte rapporté à la partie logement : cas générateur à combustion virtuel ou ecs collective virtuelle</t>
  </si>
  <si>
    <t>installation collective immeuble mixte rapporté à la partie logement : cas générateurs simples (réseau de chaleur, effet joule, pac, cet)</t>
  </si>
  <si>
    <t>usage_generateur</t>
  </si>
  <si>
    <t>chauffage</t>
  </si>
  <si>
    <t>ecs</t>
  </si>
  <si>
    <t>chauffage + ecs</t>
  </si>
  <si>
    <t>cfg_installation_ch</t>
  </si>
  <si>
    <t>installation de chauffage simple</t>
  </si>
  <si>
    <t>installation de chauffage avec chauffage solaire</t>
  </si>
  <si>
    <t>installation de chauffage avec insert ou poêle bois en appoint</t>
  </si>
  <si>
    <t>installation de chauffage par insert, poêle bois (ou biomasse) avec un chauffage électrique dans la salle de bain</t>
  </si>
  <si>
    <t>installation de chauffage avec en appoint un insert ou poêle bois et un chauffage électrique dans la salle de bain (différent du chauffage principal)</t>
  </si>
  <si>
    <t>installation de chauffage avec une chaudière ou une pac en relève d’une chaudière bois</t>
  </si>
  <si>
    <t>installation de chauffage avec chauffage solaire et insert ou poêle bois en appoint</t>
  </si>
  <si>
    <t>installation de chauffage avec chaudière en relève de pac</t>
  </si>
  <si>
    <t>installation de chauffage avec chaudière en relève de pac avec insert ou poêle bois en appoint</t>
  </si>
  <si>
    <t>installation de chauffage collectif avec base + appoint</t>
  </si>
  <si>
    <t>convecteurs bi-jonction</t>
  </si>
  <si>
    <t>lien_generateur_emetteur</t>
  </si>
  <si>
    <t>génération principale - emetteur lié à la génération principale</t>
  </si>
  <si>
    <t>génération appoint - emetteur lié à la génération d'appoint</t>
  </si>
  <si>
    <t>génération appoint electrique salle de bain - emetteur lié à la génération appoint electrique salle de bain</t>
  </si>
  <si>
    <t>cfg_installation_ecs</t>
  </si>
  <si>
    <t>un seul système d'ecs sans solaire</t>
  </si>
  <si>
    <t>un seul système d'ecs avec solaire</t>
  </si>
  <si>
    <t>deux systèmes d'ecs dans une maison ou un appartement</t>
  </si>
  <si>
    <t>type_generateur_ch</t>
  </si>
  <si>
    <t>cuisinière installé avant 1990</t>
  </si>
  <si>
    <t>foyer fermé installé avant 1990</t>
  </si>
  <si>
    <t>poêle bûche installé avant 1990</t>
  </si>
  <si>
    <t>insert installé avant 1990</t>
  </si>
  <si>
    <t>cuisinière installé entre 1990 et 2004</t>
  </si>
  <si>
    <t>foyer fermé installé entre 1990 et 2004</t>
  </si>
  <si>
    <t>poêle bûche installé entre 1990 et 2004</t>
  </si>
  <si>
    <t>insert installé entre 1990 et 2004</t>
  </si>
  <si>
    <t>cuisinière installé à partir de 2005 sans label flamme verte</t>
  </si>
  <si>
    <t>foyer fermé installé à partir de 2005 sans label flamme verte</t>
  </si>
  <si>
    <t>poêle bûche installé à partir de 2005 sans label flamme verte</t>
  </si>
  <si>
    <t>insert installé à partir de 2005 sans label flamme verte</t>
  </si>
  <si>
    <t>cuisinière installé installé de 2005 à 2006 avec label flamme verte</t>
  </si>
  <si>
    <t>foyer fermé installé installé de 2005 à 2006 avec label flamme verte</t>
  </si>
  <si>
    <t>poêle bûche installé installé de 2005 à 2006 avec label flamme verte</t>
  </si>
  <si>
    <t>insert installé installé de 2005 à 2006 avec label flamme verte</t>
  </si>
  <si>
    <t>cuisinière installé installé de 2007 à 2017 avec label flamme verte</t>
  </si>
  <si>
    <t>foyer fermé installé installé de 2007 à 2017 avec label flamme verte</t>
  </si>
  <si>
    <t>poêle bûche installé installé de 2007 à 2017 avec label flamme verte</t>
  </si>
  <si>
    <t>insert installé installé de 2007 à 2017 avec label flamme verte</t>
  </si>
  <si>
    <t>cuisinière installé installé à partir de 2018 avec label flamme verte</t>
  </si>
  <si>
    <t>foyer fermé installé installé à partir de 2018 avec label flamme verte</t>
  </si>
  <si>
    <t>poêle bûche installé installé à partir de 2018 avec label flamme verte</t>
  </si>
  <si>
    <t>insert installé installé à partir de 2018 avec label flamme verte</t>
  </si>
  <si>
    <t>poêle à granulés installée avant 2012 ou sans label flamme verte</t>
  </si>
  <si>
    <t>poêle à granulés flamme verte installé entre 2012 et 2019</t>
  </si>
  <si>
    <t>poêle à granulés flamme verte installé à partir de 2020</t>
  </si>
  <si>
    <t>poêle fioul ou gpl ou charbon</t>
  </si>
  <si>
    <t>poêle à bois bouilleur bûche installé avant 2012</t>
  </si>
  <si>
    <t>poêle à bois bouilleur bûche installé à partir de 2012</t>
  </si>
  <si>
    <t>générateur à air chaud à combustion avant 2006</t>
  </si>
  <si>
    <t>générateur à air chaud à combustion standard a partir de 2006</t>
  </si>
  <si>
    <t>générateur à air chaud à combustion à condensation a partir de 2006</t>
  </si>
  <si>
    <t>radiateur à gaz indépendant ou autonome avant 2006</t>
  </si>
  <si>
    <t>radiateur à gaz indépendant ou autonome après 2006</t>
  </si>
  <si>
    <t>chaudière bois bûche avant 1978</t>
  </si>
  <si>
    <t>chaudière bois bûche 1978-1994</t>
  </si>
  <si>
    <t>chaudière bois bûche 1995-2003</t>
  </si>
  <si>
    <t>chaudière bois bûche 2004-2012</t>
  </si>
  <si>
    <t>chaudière bois bûche 2013-2017</t>
  </si>
  <si>
    <t>chaudière bois bûche 2018-2019</t>
  </si>
  <si>
    <t>chaudière bois bûche après 2019</t>
  </si>
  <si>
    <t>chaudière bois plaquette avant 1978</t>
  </si>
  <si>
    <t>chaudière bois plaquette 1978-1994</t>
  </si>
  <si>
    <t>chaudière bois plaquette 1995-2003</t>
  </si>
  <si>
    <t>chaudière bois plaquette 2004-2012</t>
  </si>
  <si>
    <t>chaudière bois plaquette 2013-2017</t>
  </si>
  <si>
    <t>chaudière bois plaquette 2018-2019</t>
  </si>
  <si>
    <t>chaudière bois plaquette après 2019</t>
  </si>
  <si>
    <t>chaudière bois granulés avant 1978</t>
  </si>
  <si>
    <t>chaudière bois granulés 1978-1994</t>
  </si>
  <si>
    <t>chaudière bois granulés 1995-2003</t>
  </si>
  <si>
    <t>chaudière bois granulés 2004-2012</t>
  </si>
  <si>
    <t>chaudière bois granulés 2013-2019</t>
  </si>
  <si>
    <t>chaudière bois granulés après 2019</t>
  </si>
  <si>
    <t>chaudière fioul classique avant 1970</t>
  </si>
  <si>
    <t>chaudière fioul classique 1970-1975</t>
  </si>
  <si>
    <t>chaudière fioul classique 1976-1980</t>
  </si>
  <si>
    <t>chaudière fioul classique 1981-1990</t>
  </si>
  <si>
    <t>chaudière fioul standard 1991-2015</t>
  </si>
  <si>
    <t>chaudière fioul standard après 2015</t>
  </si>
  <si>
    <t>chaudière fioul basse température 1991-2015</t>
  </si>
  <si>
    <t>chaudière fioul basse température après 2015</t>
  </si>
  <si>
    <t>chaudière fioul à condensation 1996-2015</t>
  </si>
  <si>
    <t>chaudière fioul à condensation après 2015</t>
  </si>
  <si>
    <t>chaudière gaz classique avant 1981</t>
  </si>
  <si>
    <t>chaudière gaz classique 1981-1985</t>
  </si>
  <si>
    <t>chaudière gaz classique 1986-1990</t>
  </si>
  <si>
    <t>chaudière gaz standard 1991-2000</t>
  </si>
  <si>
    <t>chaudière gaz standard 2001-2015</t>
  </si>
  <si>
    <t>chaudière gaz standard après 2015</t>
  </si>
  <si>
    <t>chaudière gaz basse température 1991-2000</t>
  </si>
  <si>
    <t>chaudière gaz basse température 2001-2015</t>
  </si>
  <si>
    <t>chaudière gaz basse température après 2015</t>
  </si>
  <si>
    <t>chaudière gaz à condensation 1981-1985</t>
  </si>
  <si>
    <t>chaudière gaz à condensation 1986-2000</t>
  </si>
  <si>
    <t>chaudière gaz à condensation 2001-2015</t>
  </si>
  <si>
    <t>chaudière gaz à condensation après 2015</t>
  </si>
  <si>
    <t>convecteur électrique nfc, nf** et nf***</t>
  </si>
  <si>
    <t>panneau rayonnant électrique nfc, nf** et nf***</t>
  </si>
  <si>
    <t>radiateur électrique nfc, nf** et nf***</t>
  </si>
  <si>
    <t>autres émetteurs à effet joule</t>
  </si>
  <si>
    <t>plancher ou plafond rayonnant électrique avec régulation terminale</t>
  </si>
  <si>
    <t>plancher ou plafond rayonnant électrique sans régulation terminale</t>
  </si>
  <si>
    <t>radiateur électrique à accumulation</t>
  </si>
  <si>
    <t>convecteur bi-jonction</t>
  </si>
  <si>
    <t>chaudière électrique</t>
  </si>
  <si>
    <t>réseau de chaleur non isolé</t>
  </si>
  <si>
    <t>réseau de chaleur isolé</t>
  </si>
  <si>
    <t>chaudière(s) bois multi bâtiment modélisée comme un réseau de chaleur</t>
  </si>
  <si>
    <t>chaudière(s) fioul multi bâtiment modélisée comme un réseau de chaleur</t>
  </si>
  <si>
    <t>chaudière(s) gaz multi bâtiment modélisée comme un réseau de chaleur</t>
  </si>
  <si>
    <t>pompe(s) à chaleur multi bâtiment modélisée comme un réseau de chaleur</t>
  </si>
  <si>
    <t>autre système à combustion gaz</t>
  </si>
  <si>
    <t>autre système à combustion fioul</t>
  </si>
  <si>
    <t>autre système à combustion bois</t>
  </si>
  <si>
    <t>autre système à combustion autres energies fossiles (charbon,pétrole etc…)</t>
  </si>
  <si>
    <t>système collectif par défaut en abscence d'information : chaudière fioul pénalisante</t>
  </si>
  <si>
    <t>chaudière charbon avant 1978</t>
  </si>
  <si>
    <t>chaudière charbon 1978-1994</t>
  </si>
  <si>
    <t>chaudière charbon 1995-2003</t>
  </si>
  <si>
    <t>chaudière charbon 2004-2012</t>
  </si>
  <si>
    <t>chaudière charbon 2013-2017</t>
  </si>
  <si>
    <t>chaudière charbon 2018-2019</t>
  </si>
  <si>
    <t>chaudière charbon après 2019</t>
  </si>
  <si>
    <t>chaudière gpl/propane/butane classique avant 1981</t>
  </si>
  <si>
    <t>chaudière gpl/propane/butane classique 1981-1985</t>
  </si>
  <si>
    <t>chaudière gpl/propane/butane classique 1986-1990</t>
  </si>
  <si>
    <t>chaudière gpl/propane/butane standard 1991-2000</t>
  </si>
  <si>
    <t>chaudière gpl/propane/butane standard 2001-2015</t>
  </si>
  <si>
    <t>chaudière gpl/propane/butane standard après 2015</t>
  </si>
  <si>
    <t>chaudière gpl/propane/butane basse température 1991-2000</t>
  </si>
  <si>
    <t>chaudière gpl/propane/butane basse température 2001-2015</t>
  </si>
  <si>
    <t>chaudière gpl/propane/butane basse température après 2015</t>
  </si>
  <si>
    <t>chaudière gpl/propane/butane à condensation 1981-1985</t>
  </si>
  <si>
    <t>chaudière gpl/propane/butane à condensation 1986-2000</t>
  </si>
  <si>
    <t>chaudière gpl/propane/butane à condensation 2001-2015</t>
  </si>
  <si>
    <t>chaudière gpl/propane/butane à condensation après 2015</t>
  </si>
  <si>
    <t>poêle à bois bouilleur granulés installé avant 2012</t>
  </si>
  <si>
    <t>poêle à bois bouilleur granulés installé à partir de 2012</t>
  </si>
  <si>
    <t>réseau de chaleur non répertorié ou inconnu</t>
  </si>
  <si>
    <t>pompe à chaleur hybride : partie pompe à chaleur (supprime)</t>
  </si>
  <si>
    <t>pompe à chaleur hybride : partie chaudière (supprime)</t>
  </si>
  <si>
    <t>pompe à chaleur hybride : partie pompe à chaleur pac air/eau installée entre 2008 et 2014</t>
  </si>
  <si>
    <t>pompe à chaleur hybride : partie pompe à chaleur pac air/eau installée entre 2015 et 2016</t>
  </si>
  <si>
    <t>pompe à chaleur hybride : partie pompe à chaleur pac air/eau installée après 2017</t>
  </si>
  <si>
    <t>pompe à chaleur hybride : partie chaudière chaudière gaz à condensation 2001-2015</t>
  </si>
  <si>
    <t>pompe à chaleur hybride : partie chaudière chaudière gaz à condensation après 2015</t>
  </si>
  <si>
    <t>pompe à chaleur hybride : partie chaudière chaudière fioul à condensation 1996-2015</t>
  </si>
  <si>
    <t>pompe à chaleur hybride : partie chaudière chaudière fioul à condensation après 2015</t>
  </si>
  <si>
    <t>pompe à chaleur hybride : partie chaudière chaudière bois granulés 2013-2019</t>
  </si>
  <si>
    <t>pompe à chaleur hybride : partie chaudière chaudière bois granulés après 2019</t>
  </si>
  <si>
    <t>pompe à chaleur hybride : partie chaudière chaudière bois bûche 2013-2017</t>
  </si>
  <si>
    <t>pompe à chaleur hybride : partie chaudière chaudière bois bûche 2018-2019</t>
  </si>
  <si>
    <t>pompe à chaleur hybride : partie chaudière chaudière bois bûche après 2019</t>
  </si>
  <si>
    <t>pompe à chaleur hybride : partie chaudière chaudière bois plaquette 2013-2017</t>
  </si>
  <si>
    <t>pompe à chaleur hybride : partie chaudière chaudière bois plaquette 2018-2019</t>
  </si>
  <si>
    <t>pompe à chaleur hybride : partie chaudière chaudière bois plaquette après 2019</t>
  </si>
  <si>
    <t>pompe à chaleur hybride : partie chaudière chaudière gpl/propane/butane à condensation 2001-2015</t>
  </si>
  <si>
    <t>pompe à chaleur hybride : partie chaudière chaudière gpl/propane/butane à condensation après 2015</t>
  </si>
  <si>
    <t>pompe à chaleur hybride : partie pompe à chaleur pac eau/eau installée entre 2008 et 2014</t>
  </si>
  <si>
    <t>pompe à chaleur hybride : partie pompe à chaleur pac eau/eau installée entre 2015 et 2016</t>
  </si>
  <si>
    <t>pompe à chaleur hybride : partie pompe à chaleur pac eau/eau installée après 2017</t>
  </si>
  <si>
    <t>pompe à chaleur hybride : partie pompe à chaleur pac eau glycolée/eau installée entre 2008 et 2014</t>
  </si>
  <si>
    <t>pompe à chaleur hybride : partie pompe à chaleur pac eau glycolée/eau installée entre 2015 et 2016</t>
  </si>
  <si>
    <t>pompe à chaleur hybride : partie pompe à chaleur pac eau glycolée/eau installée après 2017</t>
  </si>
  <si>
    <t>pompe à chaleur hybride : partie pompe à chaleur pac géothermique installée entre 2008 et 2014</t>
  </si>
  <si>
    <t>pompe à chaleur hybride : partie pompe à chaleur pac géothermique installée entre 2015 et 2016</t>
  </si>
  <si>
    <t>pompe à chaleur hybride : partie pompe à chaleur pac géothermique installée après 2017</t>
  </si>
  <si>
    <t>chaudière(s) charbon multi bâtiment modélisée comme un réseau de chaleur</t>
  </si>
  <si>
    <t>type_emission_distribution</t>
  </si>
  <si>
    <t>panneau rayonnant nfc, nf** et nf***</t>
  </si>
  <si>
    <t>soufflage d'air chaud (air soufflé) avec distribution par réseau aéraulique</t>
  </si>
  <si>
    <t>plafond rayonnant électrique avec régulation terminale</t>
  </si>
  <si>
    <t>plafond rayonnant électrique sans régulation</t>
  </si>
  <si>
    <t>plancher rayonnant électrique avec régulation terminale</t>
  </si>
  <si>
    <t>plancher rayonnant électrique sans régulation</t>
  </si>
  <si>
    <t>plancher chauffant sur réseau collectif eau chaude haute température(sup ou egal 65°c)</t>
  </si>
  <si>
    <t>plancher chauffant sur réseau collectif eau chaude basse ou moyenne température(inf 65°c)</t>
  </si>
  <si>
    <t>plancher chauffant sur réseau individuel eau chaude haute température(sup ou egal 65°c)</t>
  </si>
  <si>
    <t>plancher chauffant sur réseau individuel eau chaude basse ou moyenne température(inf 65°c)</t>
  </si>
  <si>
    <t>plafond chauffant sur réseau collectif eau chaude haute température(sup ou egal 65°c)</t>
  </si>
  <si>
    <t>plafond chauffant sur réseau collectif eau chaude basse ou moyenne température(inf 65°c)</t>
  </si>
  <si>
    <t>plafond chauffant sur réseau individuel eau chaude haute température(sup ou egal 65°c)</t>
  </si>
  <si>
    <t>plafond chauffant sur réseau individuel eau chaude basse ou moyenne température(inf 65°c)</t>
  </si>
  <si>
    <t>radiateur gaz à ventouse ou sur conduit de fumée</t>
  </si>
  <si>
    <t>poêle charbon</t>
  </si>
  <si>
    <t>poêle bois</t>
  </si>
  <si>
    <t>poêle fioul</t>
  </si>
  <si>
    <t>poêle gpl</t>
  </si>
  <si>
    <t>radiateur monotube sans robinet thermostatique sur réseau collectif eau chaude haute température(sup ou egal 65°c)</t>
  </si>
  <si>
    <t>radiateur monotube sans robinet thermostatique sur réseau collectif eau chaude basse ou moyenne température(inf 65°c)</t>
  </si>
  <si>
    <t>radiateur monotube sans robinet thermostatique sur réseau individuel eau chaude haute température(sup ou egal 65°c)</t>
  </si>
  <si>
    <t>radiateur monotube sans robinet thermostatique sur réseau individuel eau chaude basse ou moyenne température(inf 65°c)</t>
  </si>
  <si>
    <t>radiateur monotube avec robinet thermostatique sur réseau collectif eau chaude haute température(sup ou egal 65°c)</t>
  </si>
  <si>
    <t>radiateur monotube avec robinet thermostatique sur réseau collectif eau chaude basse ou moyenne température(inf 65°c)</t>
  </si>
  <si>
    <t>radiateur monotube avec robinet thermostatique sur réseau individuel eau chaude haute température(sup ou egal 65°c)</t>
  </si>
  <si>
    <t>radiateur monotube avec robinet thermostatique sur réseau individuel eau chaude basse ou moyenne température(inf 65°c)</t>
  </si>
  <si>
    <t>radiateur bitube sans robinet thermostatique sur réseau collectif eau chaude haute température(sup ou egal 65°c)</t>
  </si>
  <si>
    <t>radiateur bitube sans robinet thermostatique sur réseau collectif eau chaude basse ou moyenne température(inf 65°c)</t>
  </si>
  <si>
    <t>radiateur bitube sans robinet thermostatique sur réseau individuel eau chaude haute température(sup ou egal 65°c)</t>
  </si>
  <si>
    <t>radiateur bitube sans robinet thermostatique sur réseau individuel eau chaude basse ou moyenne température(inf 65°c)</t>
  </si>
  <si>
    <t>radiateur bitube avec robinet thermostatique sur réseau collectif eau chaude haute température(sup ou egal 65°c)</t>
  </si>
  <si>
    <t>radiateur bitube avec robinet thermostatique sur réseau collectif eau chaude basse ou moyenne température(inf 65°c)</t>
  </si>
  <si>
    <t>radiateur bitube avec robinet thermostatique sur réseau individuel eau chaude haute température(sup ou egal 65°c)</t>
  </si>
  <si>
    <t>radiateur bitube avec robinet thermostatique sur réseau individuel eau chaude basse ou moyenne température(inf 65°c)</t>
  </si>
  <si>
    <t>autres équipements</t>
  </si>
  <si>
    <t>soufflage d'air chaud (air soufflé) avec distribution par fluide frigorigène</t>
  </si>
  <si>
    <t>plancher chauffant avec distribution par fluide frigorigène (plancher chauffant à détente directe)</t>
  </si>
  <si>
    <t>plafond chauffant avec distribution par fluide frigorigène (plafond chauffant à détente directe)</t>
  </si>
  <si>
    <t>radiateur avec distribution par fluide frigorigène (à détente directe)</t>
  </si>
  <si>
    <t>soufflage d'air chaud (ventiloconvecteur) sur réseau collectif eau chaude haute température(sup ou egal 65°c)</t>
  </si>
  <si>
    <t>soufflage d'air chaud (ventiloconvecteur) sur réseau collectif eau chaude basse ou moyenne température(inf 65°c)</t>
  </si>
  <si>
    <t>soufflage d'air chaud (ventiloconvecteur) sur réseau individuel eau chaude haute température(sup ou egal 65°c)</t>
  </si>
  <si>
    <t>soufflage d'air chaud (ventiloconvecteur) sur réseau individuel eau chaude basse ou moyenne température(inf 65°c)</t>
  </si>
  <si>
    <t>soufflage d'air chaud sans réseau de distribution (ventiloconvecteur éléctrique)</t>
  </si>
  <si>
    <t>temp_distribution_ch</t>
  </si>
  <si>
    <t>abscence de réseau de distribution</t>
  </si>
  <si>
    <t>basse</t>
  </si>
  <si>
    <t>haute</t>
  </si>
  <si>
    <t>equipement_intermittence</t>
  </si>
  <si>
    <t>absent</t>
  </si>
  <si>
    <t>central sans minimum de température</t>
  </si>
  <si>
    <t>central avec minimum de température</t>
  </si>
  <si>
    <t>par pièce avec minimum de température</t>
  </si>
  <si>
    <t>par pièce avec minimum de température et détection de présence</t>
  </si>
  <si>
    <t>central collectif</t>
  </si>
  <si>
    <t>central collectif avec détection de présence</t>
  </si>
  <si>
    <t>type_regulation</t>
  </si>
  <si>
    <t>sans régulation pièce par pièce</t>
  </si>
  <si>
    <t>avec régulation pièce par pièce</t>
  </si>
  <si>
    <t>periode_installation_emetteur</t>
  </si>
  <si>
    <t>avant 1981</t>
  </si>
  <si>
    <t>entre 1981 et 2000</t>
  </si>
  <si>
    <t>après 2000</t>
  </si>
  <si>
    <t>type_chauffage</t>
  </si>
  <si>
    <t>chauffage divisé</t>
  </si>
  <si>
    <t>chauffage central</t>
  </si>
  <si>
    <t>type_generateur_ecs</t>
  </si>
  <si>
    <t>cet sur air ambiant (sur local non chauffé) avant 2010</t>
  </si>
  <si>
    <t>cet sur air ambiant (sur local non chauffé) 2010-2014</t>
  </si>
  <si>
    <t>cet sur air ambiant (sur local non chauffé) après 2014</t>
  </si>
  <si>
    <t>cet sur air extérieur avant 2010</t>
  </si>
  <si>
    <t>cet sur air extérieur 2010-2014</t>
  </si>
  <si>
    <t>cet sur air extérieur après 2014</t>
  </si>
  <si>
    <t>cet sur air extrait avant 2010</t>
  </si>
  <si>
    <t>cet sur air extrait 2010-2014</t>
  </si>
  <si>
    <t>cet sur air extrait après 2014</t>
  </si>
  <si>
    <t>pac double service avant 2010</t>
  </si>
  <si>
    <t>pac double service 2010-2014</t>
  </si>
  <si>
    <t>pac double service après 2014</t>
  </si>
  <si>
    <t>accumulateur gaz classique avant 1990</t>
  </si>
  <si>
    <t>accumulateur gaz classique 1990-2000</t>
  </si>
  <si>
    <t>accumulateur gaz classique après 2000</t>
  </si>
  <si>
    <t>accumulateur gaz à condensation 1996-2000</t>
  </si>
  <si>
    <t>accumulateur gaz à condensation après 2000</t>
  </si>
  <si>
    <t>chauffe-eau gaz à production instantanée avant 1980</t>
  </si>
  <si>
    <t>chauffe-eau gaz à production instantanée 1981-1989</t>
  </si>
  <si>
    <t>chauffe-eau gaz à production instantanée 1990-2000</t>
  </si>
  <si>
    <t>chauffe-eau gaz à production instantanée 2001-2015</t>
  </si>
  <si>
    <t>chauffe-eau gaz à production instantanée après 2015</t>
  </si>
  <si>
    <t>ballon électrique à accumulation horizontal</t>
  </si>
  <si>
    <t>ballon électrique à accumulation vertical autres ou inconnue</t>
  </si>
  <si>
    <t>ballon électrique à accumulation vertical catégorie b ou 2 étoiles</t>
  </si>
  <si>
    <t>ballon électrique à accumulation vertical catégorie c ou 3 étoiles</t>
  </si>
  <si>
    <t>accumulateur gpl/propane/butane classique avant 1990</t>
  </si>
  <si>
    <t>accumulateur gpl/propane/butane classique 1990-2000</t>
  </si>
  <si>
    <t>accumulateur gpl/propane/butane classique après 2000</t>
  </si>
  <si>
    <t>accumulateur gpl/propane/butane à condensation 1996-2000</t>
  </si>
  <si>
    <t>accumulateur gpl/propane/butane à condensation après 2000</t>
  </si>
  <si>
    <t>chauffe-eau gpl/propane/butane à production instantanée avant 1980</t>
  </si>
  <si>
    <t>chauffe-eau gpl/propane/butane à production instantanée 1981-1989</t>
  </si>
  <si>
    <t>chauffe-eau gpl/propane/butane à production instantanée 1990-2000</t>
  </si>
  <si>
    <t>chauffe-eau gpl/propane/butane à production instantanée 2001-2015</t>
  </si>
  <si>
    <t>chauffe-eau gpl/propane/butane à production instantanée après 2015</t>
  </si>
  <si>
    <t>chauffe-eau électrique instantané</t>
  </si>
  <si>
    <t>bouclage_reseau_ecs</t>
  </si>
  <si>
    <t>réseau d'ecs non bouclé</t>
  </si>
  <si>
    <t>réseau d'ecs bouclé</t>
  </si>
  <si>
    <t>réseau d'ecs avec présence d'un traceur chauffant</t>
  </si>
  <si>
    <t>type_stockage_ecs</t>
  </si>
  <si>
    <t>abscence de stockage d'ecs (production instantanée)</t>
  </si>
  <si>
    <t>stockage indépendant de la production</t>
  </si>
  <si>
    <t>stockage intégré à la production</t>
  </si>
  <si>
    <t>periode_installation_ecs_thermo</t>
  </si>
  <si>
    <t>avant 2010</t>
  </si>
  <si>
    <t>2010-2014</t>
  </si>
  <si>
    <t>type_enr</t>
  </si>
  <si>
    <t>solaire photovoltaïque</t>
  </si>
  <si>
    <t>eolien</t>
  </si>
  <si>
    <t>solaire photovoltaïque + eolien</t>
  </si>
  <si>
    <t>cogénération</t>
  </si>
  <si>
    <t>solaire photovoltaïque + cogénération</t>
  </si>
  <si>
    <t>eolien + cogénération</t>
  </si>
  <si>
    <t>solaire photovoltaïque + eolien + cogénération</t>
  </si>
  <si>
    <t>orientation_pv</t>
  </si>
  <si>
    <t>sud-est</t>
  </si>
  <si>
    <t>sud-ouest</t>
  </si>
  <si>
    <t>inclinaison_pv</t>
  </si>
  <si>
    <t>≤ 15°</t>
  </si>
  <si>
    <t>15° &lt; ≤ 45°</t>
  </si>
  <si>
    <t>45° &lt; ≤ 75°</t>
  </si>
  <si>
    <t>&gt; 75°</t>
  </si>
  <si>
    <t>type_energie</t>
  </si>
  <si>
    <t>électricité</t>
  </si>
  <si>
    <t>gaz naturel</t>
  </si>
  <si>
    <t>fioul domestique</t>
  </si>
  <si>
    <t>bois – bûches</t>
  </si>
  <si>
    <t>bois – granulés (pellets) ou briquettes</t>
  </si>
  <si>
    <t>bois – plaquettes forestières</t>
  </si>
  <si>
    <t>bois – plaquettes d’industrie</t>
  </si>
  <si>
    <t>réseau de chauffage urbain</t>
  </si>
  <si>
    <t>propane</t>
  </si>
  <si>
    <t>butane</t>
  </si>
  <si>
    <t>charbon</t>
  </si>
  <si>
    <t>électricité d'origine renouvelable utilisée dans le bâtiment</t>
  </si>
  <si>
    <t>gpl</t>
  </si>
  <si>
    <t>autre combustible fossile</t>
  </si>
  <si>
    <t>type_usage</t>
  </si>
  <si>
    <t>eau chaude sanitaire</t>
  </si>
  <si>
    <t>refroidissement</t>
  </si>
  <si>
    <t>eclairage</t>
  </si>
  <si>
    <t>bureautique</t>
  </si>
  <si>
    <t>ascenseur(s)</t>
  </si>
  <si>
    <t>autres usages</t>
  </si>
  <si>
    <t>production d'électricité à demeure</t>
  </si>
  <si>
    <t>abonnements</t>
  </si>
  <si>
    <t>transports mécaniques</t>
  </si>
  <si>
    <t>chauffage et eau chaude sanitaire</t>
  </si>
  <si>
    <t>périmètre de l'usage inconnu</t>
  </si>
  <si>
    <t>chauffage, eau chaude sanitaire et climatisation</t>
  </si>
  <si>
    <t>chauffage et climatisation</t>
  </si>
  <si>
    <t>eau chaude sanitaire et climatisation</t>
  </si>
  <si>
    <t>auxiliaires et ventilation</t>
  </si>
  <si>
    <t>classe_etiquette</t>
  </si>
  <si>
    <t>A</t>
  </si>
  <si>
    <t>B</t>
  </si>
  <si>
    <t>C</t>
  </si>
  <si>
    <t>D</t>
  </si>
  <si>
    <t>E</t>
  </si>
  <si>
    <t>F</t>
  </si>
  <si>
    <t>G</t>
  </si>
  <si>
    <t>statut_geocodage_ban</t>
  </si>
  <si>
    <t>adresse géocodée ban à l'adresse</t>
  </si>
  <si>
    <t>adresse non géocodée ban car aucune correspondance trouvée</t>
  </si>
  <si>
    <t>qualite_composant</t>
  </si>
  <si>
    <t>très bonne</t>
  </si>
  <si>
    <t>bonne</t>
  </si>
  <si>
    <t>insuffisante</t>
  </si>
  <si>
    <t>position_etage_logement</t>
  </si>
  <si>
    <t>rdc</t>
  </si>
  <si>
    <t>étage intermédiaire</t>
  </si>
  <si>
    <t>dernier étage</t>
  </si>
  <si>
    <t>typologie_logement</t>
  </si>
  <si>
    <t>t1</t>
  </si>
  <si>
    <t>t2</t>
  </si>
  <si>
    <t>t3</t>
  </si>
  <si>
    <t>t4</t>
  </si>
  <si>
    <t>t5</t>
  </si>
  <si>
    <t>t6</t>
  </si>
  <si>
    <t>t7 ou plus</t>
  </si>
  <si>
    <t>categorie_enr_descriptif</t>
  </si>
  <si>
    <t>pompe à chaleur</t>
  </si>
  <si>
    <t>chauffe-eau thermodynamique</t>
  </si>
  <si>
    <t>panneaux solaires photovoltaïques</t>
  </si>
  <si>
    <t>panneaux solaires thermiques</t>
  </si>
  <si>
    <t>géothermie</t>
  </si>
  <si>
    <t>réseau de chaleur ou de froid vertueux</t>
  </si>
  <si>
    <t>chauffage au bois</t>
  </si>
  <si>
    <t>éolienne</t>
  </si>
  <si>
    <t>categorie_descriptif_simplifie</t>
  </si>
  <si>
    <t>murs</t>
  </si>
  <si>
    <t>planchers bas</t>
  </si>
  <si>
    <t>toiture/plafond</t>
  </si>
  <si>
    <t>portes et fenêtres</t>
  </si>
  <si>
    <t>système de chauffage</t>
  </si>
  <si>
    <t>système d'ecs</t>
  </si>
  <si>
    <t>sytème de refroidissement</t>
  </si>
  <si>
    <t>système de ventilation</t>
  </si>
  <si>
    <t>dispositifs de pilotage chauffage/climatisation</t>
  </si>
  <si>
    <t>système de production d'électricité d'origine renouvelable</t>
  </si>
  <si>
    <t>categorie_fiche_technique</t>
  </si>
  <si>
    <t>baies vitrées</t>
  </si>
  <si>
    <t>portes</t>
  </si>
  <si>
    <t>pont thermique</t>
  </si>
  <si>
    <t>général</t>
  </si>
  <si>
    <t>description échantillon logement pour dpe immeuble</t>
  </si>
  <si>
    <t>num_pack_travaux</t>
  </si>
  <si>
    <t>1+2</t>
  </si>
  <si>
    <t>lot_travaux</t>
  </si>
  <si>
    <t>energie renouvelable</t>
  </si>
  <si>
    <t>type_justificatif</t>
  </si>
  <si>
    <t>plans de la maison, de l’appartement ou de l’immeuble</t>
  </si>
  <si>
    <t>plan de situation ou plan de masse du bâtiment</t>
  </si>
  <si>
    <t>diagnostic surface habitable</t>
  </si>
  <si>
    <t>avis de taxe d’habitation</t>
  </si>
  <si>
    <t>relevé de propriété</t>
  </si>
  <si>
    <t>règlement de copropriété</t>
  </si>
  <si>
    <t>descriptifs des équipements collectifs fournis par le propriétaire des installations collectives ou le syndic de copropriété</t>
  </si>
  <si>
    <t>descriptifs des équipements individuels des logements non visités par le diagnostiqueur, fournis par le gestionnaire professionnel unique du bâtiment dans le cas d’un propriétaire unique certifiant que tous les lots font l’objet d’une gestion homogène</t>
  </si>
  <si>
    <t>contrat de maintenance ou d’entretien des équipements</t>
  </si>
  <si>
    <t>notices techniques des équipements, y compris celles mise à disposition publiquement par les fabricants</t>
  </si>
  <si>
    <t>permis de construire du bâtiment et, le cas échéant, de ses extensions</t>
  </si>
  <si>
    <t>étude thermique réglementaire</t>
  </si>
  <si>
    <t>rapport de mesure de la perméabilité à l’air</t>
  </si>
  <si>
    <t>rapport mentionnant la composition des parois, obtenue par sondage</t>
  </si>
  <si>
    <t>factures de travaux ou bordereaux de livraison décrivant les travaux réalisés, mentionnant l’adresse du bien</t>
  </si>
  <si>
    <t>photographies des travaux d’isolation, permettant d’identifier le bien et la paroi concernée</t>
  </si>
  <si>
    <t>justificatifs d’obtention d’un crédit d’impôt ou d’une prime de transition énergétique (cite, maprimerénov’).</t>
  </si>
  <si>
    <t>déclaration préalable des travaux de rénovation, dans le cas où cette procédure était nécessaire (par exemple pour une isolation thermique par l’extérieur)</t>
  </si>
  <si>
    <t>cahier des charges ou programme de travaux</t>
  </si>
  <si>
    <t>url/api</t>
  </si>
  <si>
    <t>origine_donnee</t>
  </si>
  <si>
    <t>valeur par défaut</t>
  </si>
  <si>
    <t>mesuré/observé</t>
  </si>
  <si>
    <t>issu d'un document justificatif autorisé</t>
  </si>
  <si>
    <t>obtenu en ligne</t>
  </si>
  <si>
    <t>estimé</t>
  </si>
  <si>
    <t>valeur par défaut pénalisante</t>
  </si>
  <si>
    <t>picto_geste_entretien</t>
  </si>
  <si>
    <t>ventilation</t>
  </si>
  <si>
    <t>chaudière</t>
  </si>
  <si>
    <t>radiateur</t>
  </si>
  <si>
    <t>éclairage</t>
  </si>
  <si>
    <t>vitrages</t>
  </si>
  <si>
    <t>circuit de distribution</t>
  </si>
  <si>
    <t>insert/poêle bois</t>
  </si>
  <si>
    <t>chauffe-eau</t>
  </si>
  <si>
    <t>panneau solaire</t>
  </si>
  <si>
    <t>picto "neutre"</t>
  </si>
  <si>
    <t>isolation</t>
  </si>
  <si>
    <t>climatisation</t>
  </si>
  <si>
    <t>système chauffage</t>
  </si>
  <si>
    <t>système ecs</t>
  </si>
  <si>
    <t>baies et portes</t>
  </si>
  <si>
    <t>indicateur_confort_ete</t>
  </si>
  <si>
    <t>insuffisant</t>
  </si>
  <si>
    <t>moyen</t>
  </si>
  <si>
    <t>bon</t>
  </si>
  <si>
    <t>//enveloppe/porte_collection/porte/donnee_entree/enum_type_pose_id</t>
  </si>
  <si>
    <t>//enveloppe/porte_collection/porte/donnee_entree/reference</t>
  </si>
  <si>
    <t>//enveloppe/porte_collection/porte/donnee_entree/description</t>
  </si>
  <si>
    <t>//enveloppe/porte_collection/porte/donnee_entree/enum_type_porte_id</t>
  </si>
  <si>
    <t>//enveloppe/porte_collection/porte/donnee_entree/largeur_dormant</t>
  </si>
  <si>
    <t>//enveloppe/porte_collection/porte/donnee_entree/presence_joint</t>
  </si>
  <si>
    <t>//enveloppe/porte_collection/porte/donnee_entree/presence_retour_isolation</t>
  </si>
  <si>
    <t>//enveloppe/porte_collection/porte/donnee_entree/uporte_saisi</t>
  </si>
  <si>
    <t>$.enveloppe.portes..type_pose</t>
  </si>
  <si>
    <t>$.enveloppe.portes..u</t>
  </si>
  <si>
    <t>$.enveloppe.portes..mitoyennete</t>
  </si>
  <si>
    <t>//enveloppe/porte_collection/porte/donnee_entree/reference_paroi</t>
  </si>
  <si>
    <t>//enveloppe/porte_collection/porte/donnee_entree/reference_lnc</t>
  </si>
  <si>
    <t>//enveloppe/porte_collection/porte/donnee_entree/enum_type_adjacence_id</t>
  </si>
  <si>
    <t>$.enveloppe.portes..local_non_chauffe_id</t>
  </si>
  <si>
    <t>Porte</t>
  </si>
  <si>
    <t>$.enveloppe.portes..paroi_id</t>
  </si>
  <si>
    <t>$.enveloppe.portes..type_vitrage</t>
  </si>
  <si>
    <t>$.enveloppe.portes..presence_retour_isolation</t>
  </si>
  <si>
    <t>$.enveloppe.portes..presence_joint</t>
  </si>
  <si>
    <t>$.enveloppe.portes..presence_sas</t>
  </si>
  <si>
    <t>$.enveloppe.portes..id</t>
  </si>
  <si>
    <t>$.enveloppe.portes..description</t>
  </si>
  <si>
    <t>$.enveloppe.portes..surface</t>
  </si>
  <si>
    <t>$.enveloppe.portes..isolation</t>
  </si>
  <si>
    <t>$.enveloppe.portes..materiau</t>
  </si>
  <si>
    <t>$.enveloppe.portes..largeur_dormant</t>
  </si>
  <si>
    <t>Colonne1</t>
  </si>
  <si>
    <t>target.path</t>
  </si>
  <si>
    <t>value</t>
  </si>
  <si>
    <t>lib</t>
  </si>
  <si>
    <t>origin.path</t>
  </si>
  <si>
    <t>non_isole</t>
  </si>
  <si>
    <t>isole</t>
  </si>
  <si>
    <t/>
  </si>
  <si>
    <t>metal</t>
  </si>
  <si>
    <t>nu_exterieur</t>
  </si>
  <si>
    <t>nu_interieur</t>
  </si>
  <si>
    <t>simple_vitrage</t>
  </si>
  <si>
    <t>double_vitrage</t>
  </si>
  <si>
    <t>//enveloppe/porte_collection/porte/donnee_entree/surface_porte</t>
  </si>
  <si>
    <t>//enveloppe/porte_collection/porte/donnee_entree/nb_porte</t>
  </si>
  <si>
    <t>$.enveloppe.portes..taux_vitrage</t>
  </si>
  <si>
    <t>category</t>
  </si>
  <si>
    <t>property</t>
  </si>
  <si>
    <t>patch</t>
  </si>
  <si>
    <t>origin.value</t>
  </si>
  <si>
    <t>target.value</t>
  </si>
  <si>
    <t>origin.enum</t>
  </si>
  <si>
    <t>origin.lib</t>
  </si>
  <si>
    <t>//enveloppe/pont_thermique_collection/pont_thermique/donnee_entree/reference</t>
  </si>
  <si>
    <t>//enveloppe/pont_thermique_collection/pont_thermique/donnee_entree/description</t>
  </si>
  <si>
    <t>//enveloppe/pont_thermique_collection/pont_thermique/donnee_entree/l</t>
  </si>
  <si>
    <t>//enveloppe/pont_thermique_collection/pont_thermique/donnee_entree/pourcentage_valeur_pont_thermique</t>
  </si>
  <si>
    <t>//enveloppe/pont_thermique_collection/pont_thermique/donnee_entree/enum_type_liaison_id</t>
  </si>
  <si>
    <t>//enveloppe/pont_thermique_collection/pont_thermique/donnee_entree/k_saisi</t>
  </si>
  <si>
    <t>//enveloppe/pont_thermique_collection/pont_thermique/donnee_entree/reference_2</t>
  </si>
  <si>
    <t>//enveloppe/pont_thermique_collection/pont_thermique/donnee_entree/reference_1</t>
  </si>
  <si>
    <t>Pont thermique</t>
  </si>
  <si>
    <t>$.enveloppe.ponts_thermiques..id</t>
  </si>
  <si>
    <t>$.enveloppe.ponts_thermiques..mur_id</t>
  </si>
  <si>
    <t>$.enveloppe.ponts_thermiques..paroi_id</t>
  </si>
  <si>
    <t>$.enveloppe.ponts_thermiques..description</t>
  </si>
  <si>
    <t>$.enveloppe.ponts_thermiques..longueur</t>
  </si>
  <si>
    <t>$.enveloppe.ponts_thermiques..pont_thermique_partiel</t>
  </si>
  <si>
    <t>$.enveloppe.ponts_thermiques..type_liaison</t>
  </si>
  <si>
    <t>$.enveloppe.ponts_thermiques..kpt</t>
  </si>
  <si>
    <t>plancher_bas_mur</t>
  </si>
  <si>
    <t>refend_mur</t>
  </si>
  <si>
    <t>menuiserie_mur</t>
  </si>
  <si>
    <t>plancher_intermediaire_mur</t>
  </si>
  <si>
    <t>plancher_haut_mur</t>
  </si>
  <si>
    <t>//enveloppe/plancher_haut_collection/plancher_haut/donnee_entree/reference</t>
  </si>
  <si>
    <t>//enveloppe/plancher_haut_collection/plancher_haut/donnee_entree/description</t>
  </si>
  <si>
    <t>//enveloppe/plancher_haut_collection/plancher_haut/donnee_entree/enum_type_plancher_haut_id</t>
  </si>
  <si>
    <t>//enveloppe/inertie/inertie_plancher_haut_lourd</t>
  </si>
  <si>
    <t>//enveloppe/plancher_haut_collection/plancher_haut/donnee_entree/uph0_saisi</t>
  </si>
  <si>
    <t>//enveloppe/plancher_haut_collection/plancher_haut/donnee_entree/uph_saisi</t>
  </si>
  <si>
    <t>//enveloppe/plancher_haut_collection/plancher_haut/donnee_entree/reference_lnc</t>
  </si>
  <si>
    <t>//enveloppe/plancher_haut_collection/plancher_haut/donnee_entree/enum_type_adjacence_id</t>
  </si>
  <si>
    <t>//enveloppe/plancher_haut_collection/plancher_haut/donnee_entree/enum_type_isolation_id</t>
  </si>
  <si>
    <t>//enveloppe/plancher_haut_collection/plancher_haut/donnee_entree/enum_periode_isolation_id</t>
  </si>
  <si>
    <t>//enveloppe/plancher_haut_collection/plancher_haut/donnee_entree/epaisseur_isolation</t>
  </si>
  <si>
    <t>//enveloppe/plancher_haut_collection/plancher_haut/donnee_entree/resistance_isolation</t>
  </si>
  <si>
    <t>Plancher haut</t>
  </si>
  <si>
    <t>$.enveloppe.planchers_hauts..</t>
  </si>
  <si>
    <t>$.enveloppe.planchers_hauts..id</t>
  </si>
  <si>
    <t>$.enveloppe.planchers_hauts..description</t>
  </si>
  <si>
    <t>$.enveloppe.planchers_hauts..surface</t>
  </si>
  <si>
    <t>$.enveloppe.planchers_hauts..inertie</t>
  </si>
  <si>
    <t>$.enveloppe.planchers_hauts..u0</t>
  </si>
  <si>
    <t>$.enveloppe.planchers_hauts..u</t>
  </si>
  <si>
    <t>$.enveloppe.planchers_hauts..local_non_chauffe_id</t>
  </si>
  <si>
    <t>$.enveloppe.planchers_hauts..mitoyennete</t>
  </si>
  <si>
    <t>$.enveloppe.planchers_hauts..etat_isolation</t>
  </si>
  <si>
    <t>$.enveloppe.planchers_hauts..type_isolation</t>
  </si>
  <si>
    <t>$.enveloppe.planchers_hauts..annee_isolation</t>
  </si>
  <si>
    <t>$.enveloppe.planchers_hauts..epaisseur_isolation</t>
  </si>
  <si>
    <t>$.enveloppe.planchers_hauts..resistance_thermique_isolation</t>
  </si>
  <si>
    <t>//enveloppe/plancher_haut_collection/plancher_haut/donnee_entree/surface_paroi_opaque</t>
  </si>
  <si>
    <t>legere</t>
  </si>
  <si>
    <t>$.enveloppe.planchers_hauts..type_structure</t>
  </si>
  <si>
    <t>iti_ite</t>
  </si>
  <si>
    <t>itr_iti</t>
  </si>
  <si>
    <t>itr_ite</t>
  </si>
  <si>
    <t>plafond_avec_ou_sans_remplissage</t>
  </si>
  <si>
    <t>plafond_entre_solives_metalliques</t>
  </si>
  <si>
    <t>plafond_entre_solives_bois</t>
  </si>
  <si>
    <t>plafond_bois_sur_solives_metalliques</t>
  </si>
  <si>
    <t>plafond_bois_sous_solives_metalliques</t>
  </si>
  <si>
    <t>bardeaux_et_remplissage</t>
  </si>
  <si>
    <t>plafond_bois_sur_solives_bois</t>
  </si>
  <si>
    <t>plafond_bois_sous_solives_bois</t>
  </si>
  <si>
    <t>dalle_beton</t>
  </si>
  <si>
    <t>plafond_lourd</t>
  </si>
  <si>
    <t>combles_amenages_sous_rampant</t>
  </si>
  <si>
    <t>toiture_chaume</t>
  </si>
  <si>
    <t>plafond_patre</t>
  </si>
  <si>
    <t>bac_acier</t>
  </si>
  <si>
    <t>exterieur</t>
  </si>
  <si>
    <t>enterre</t>
  </si>
  <si>
    <t>vide_sanitaire</t>
  </si>
  <si>
    <t>local_non_residentiel</t>
  </si>
  <si>
    <t>sous_sol_non_chauffe</t>
  </si>
  <si>
    <t>local_non_accessible</t>
  </si>
  <si>
    <t>local_non_chauffe</t>
  </si>
  <si>
    <t>local_residentiel</t>
  </si>
  <si>
    <t>//enveloppe/plancher_bas_collection/plancher_bas/donnee_entree/reference</t>
  </si>
  <si>
    <t>//enveloppe/plancher_bas_collection/plancher_bas/donnee_entree/description</t>
  </si>
  <si>
    <t>//enveloppe/plancher_bas_collection/plancher_bas/donnee_entree/perimetre_ue</t>
  </si>
  <si>
    <t>//enveloppe/plancher_bas_collection/plancher_bas/donnee_entree/enum_type_plancher_bas_id</t>
  </si>
  <si>
    <t>//enveloppe/inertie/inertie_plancher_bas_lourd</t>
  </si>
  <si>
    <t>//enveloppe/plancher_bas_collection/plancher_bas/donnee_entree/upb0_saisi</t>
  </si>
  <si>
    <t>//enveloppe/plancher_bas_collection/plancher_bas/donnee_entree/upb_saisi</t>
  </si>
  <si>
    <t>//enveloppe/plancher_bas_collection/plancher_bas/donnee_entree/reference_lnc</t>
  </si>
  <si>
    <t>//enveloppe/plancher_bas_collection/plancher_bas/donnee_entree/enum_type_adjacence_id</t>
  </si>
  <si>
    <t>//enveloppe/plancher_bas_collection/plancher_bas/donnee_entree/enum_type_isolation_id</t>
  </si>
  <si>
    <t>//enveloppe/plancher_bas_collection/plancher_bas/donnee_entree/enum_periode_isolation_id</t>
  </si>
  <si>
    <t>//enveloppe/plancher_bas_collection/plancher_bas/donnee_entree/epaisseur_isolation</t>
  </si>
  <si>
    <t>//enveloppe/plancher_bas_collection/plancher_bas/donnee_entree/resistance_isolation</t>
  </si>
  <si>
    <t>Plancher bas</t>
  </si>
  <si>
    <t>$.enveloppe.planchers_bas..inertie</t>
  </si>
  <si>
    <t>$.enveloppe.planchers_bas..id</t>
  </si>
  <si>
    <t>$.enveloppe.planchers_bas..description</t>
  </si>
  <si>
    <t>$.enveloppe.planchers_bas..perimetre</t>
  </si>
  <si>
    <t>$.enveloppe.planchers_bas..surface</t>
  </si>
  <si>
    <t>$.enveloppe.planchers_bas..u0</t>
  </si>
  <si>
    <t>$.enveloppe.planchers_bas..u</t>
  </si>
  <si>
    <t>$.enveloppe.planchers_bas..local_non_chauffe_id</t>
  </si>
  <si>
    <t>$.enveloppe.planchers_bas..mitoyennete</t>
  </si>
  <si>
    <t>$.enveloppe.planchers_bas..etat_isolation</t>
  </si>
  <si>
    <t>$.enveloppe.planchers_bas..type_isolation</t>
  </si>
  <si>
    <t>$.enveloppe.planchers_bas..annee_isolation</t>
  </si>
  <si>
    <t>$.enveloppe.planchers_bas..epaisseur_isolation</t>
  </si>
  <si>
    <t>$.enveloppe.planchers_bas..resistance_thermique_isolation</t>
  </si>
  <si>
    <t>$.enveloppe.planchers_bas..type_structure</t>
  </si>
  <si>
    <t>plancher_avec_ou_sans_remplissage</t>
  </si>
  <si>
    <t>plancher_entre_solives_metalliques</t>
  </si>
  <si>
    <t>plancher_entre_solives_bois</t>
  </si>
  <si>
    <t>plancher_bois_sur_solives_metalliques</t>
  </si>
  <si>
    <t>voutains_sur_solives_metalliques</t>
  </si>
  <si>
    <t>voutains_briques_ou_moellons</t>
  </si>
  <si>
    <t>plancher_bois_sur_solives_bois</t>
  </si>
  <si>
    <t>plancher_lourd_type_entrevous_terre_cuite_ou_poutrelles_beton</t>
  </si>
  <si>
    <t>plancher_entrevous_isolant</t>
  </si>
  <si>
    <t>//enveloppe/plancher_bas_collection/plancher_bas/donnee_entree/surface_paroi_opaque</t>
  </si>
  <si>
    <t>//enveloppe/mur_collection/mur/donnee_entree/enum_materiaux_structure_mur_id</t>
  </si>
  <si>
    <t>//enveloppe/mur_collection/mur/donnee_entree/enum_type_doublage_id</t>
  </si>
  <si>
    <t>//enveloppe/mur_collection/mur/donnee_entree/epaisseur_structure</t>
  </si>
  <si>
    <t>//enveloppe/mur_collection/mur/donnee_entree/enduit_isolant_paroi_ancienne</t>
  </si>
  <si>
    <t>//enveloppe/mur_collection/mur/donnee_entree/paroi_ancienne</t>
  </si>
  <si>
    <t>//enveloppe/inertie/inertie_mur_lourd</t>
  </si>
  <si>
    <t>//enveloppe/mur_collection/mur/donnee_entree/umur0_saisi</t>
  </si>
  <si>
    <t>//enveloppe/mur_collection/mur/donnee_entree/umur_saisi</t>
  </si>
  <si>
    <t>//enveloppe/mur_collection/mur/donnee_entree/reference_lnc</t>
  </si>
  <si>
    <t>//enveloppe/mur_collection/mur/donnee_entree/enum_type_adjacence_id</t>
  </si>
  <si>
    <t>//enveloppe/mur_collection/mur/donnee_entree/enum_orientation_id</t>
  </si>
  <si>
    <t>//enveloppe/mur_collection/mur/donnee_entree/enum_type_isolation_id</t>
  </si>
  <si>
    <t>//enveloppe/mur_collection/mur/donnee_entree/enum_periode_isolation_id</t>
  </si>
  <si>
    <t>//enveloppe/mur_collection/mur/donnee_entree/epaisseur_isolation</t>
  </si>
  <si>
    <t>//enveloppe/mur_collection/mur/donnee_entree/resistance_isolation</t>
  </si>
  <si>
    <t>Mur</t>
  </si>
  <si>
    <t>//enveloppe/mur_collection/mur/donnee_entree/reference</t>
  </si>
  <si>
    <t>//enveloppe/mur_collection/mur/donnee_entree/description</t>
  </si>
  <si>
    <t>//enveloppe/mur_collection/mur/donnee_entree/surface_paroi_opaque</t>
  </si>
  <si>
    <t>//enveloppe/mur_collection/mur/donnee_entree/surface_paroi_totale</t>
  </si>
  <si>
    <t>$.enveloppe.murs..id</t>
  </si>
  <si>
    <t>$.enveloppe.murs..description</t>
  </si>
  <si>
    <t>$.enveloppe.murs..surface</t>
  </si>
  <si>
    <t>$.enveloppe.murs..type_doublage</t>
  </si>
  <si>
    <t>$.enveloppe.murs..presence_enduit_isolant</t>
  </si>
  <si>
    <t>$.enveloppe.murs..paroi_ancienne</t>
  </si>
  <si>
    <t>$.enveloppe.murs..inertie</t>
  </si>
  <si>
    <t>$.enveloppe.murs..u0</t>
  </si>
  <si>
    <t>$.enveloppe.murs..u</t>
  </si>
  <si>
    <t>$.enveloppe.murs..local_non_chauffe_id</t>
  </si>
  <si>
    <t>$.enveloppe.murs..mitoyennete</t>
  </si>
  <si>
    <t>$.enveloppe.murs..orientation</t>
  </si>
  <si>
    <t>$.enveloppe.murs..etat_isolation</t>
  </si>
  <si>
    <t>$.enveloppe.murs..type_isolation</t>
  </si>
  <si>
    <t>$.enveloppe.murs..annee_isolation</t>
  </si>
  <si>
    <t>$.enveloppe.murs..epaisseur_isolation</t>
  </si>
  <si>
    <t>$.enveloppe.murs..resistance_thermique_isolation</t>
  </si>
  <si>
    <t>$.enveloppe.murs..type_structure</t>
  </si>
  <si>
    <t>$.enveloppe.murs..epaisseur_structure</t>
  </si>
  <si>
    <t>pierre_moellons</t>
  </si>
  <si>
    <t>pierre_moellons_avec_remplissage</t>
  </si>
  <si>
    <t>pise_ou_beton_terre</t>
  </si>
  <si>
    <t>pan_bois_sans_remplissage</t>
  </si>
  <si>
    <t>pan_bois_avec_remplissage</t>
  </si>
  <si>
    <t>bois_rondin</t>
  </si>
  <si>
    <t>brique_pleine_simple</t>
  </si>
  <si>
    <t>brique_pleine_double_avec_lame_air</t>
  </si>
  <si>
    <t>brique_creuse</t>
  </si>
  <si>
    <t>bloc_beton_plein</t>
  </si>
  <si>
    <t>bloc_beton_creux</t>
  </si>
  <si>
    <t>beton_banche</t>
  </si>
  <si>
    <t>beton_machefer</t>
  </si>
  <si>
    <t>brique_terre_cuite_alveolaire</t>
  </si>
  <si>
    <t>beton_cellulaire</t>
  </si>
  <si>
    <t>ossature_bois_avec_remplissage_isolant</t>
  </si>
  <si>
    <t>sandwich_beton_isolant_beton_sans_isolation_rapportee</t>
  </si>
  <si>
    <t>cloison_platre</t>
  </si>
  <si>
    <t>ossature_bois_sans_remplissage</t>
  </si>
  <si>
    <t>ossature_bois_avec_remplissage_tout_venant</t>
  </si>
  <si>
    <t>sans_doublage</t>
  </si>
  <si>
    <t>lame_air_inferieur_15mm</t>
  </si>
  <si>
    <t>lame_air_superieur_15mm</t>
  </si>
  <si>
    <t>materiaux_connu</t>
  </si>
  <si>
    <t>Local non chauffé</t>
  </si>
  <si>
    <t>$.enveloppe.locaux_non_chauffes.*.description</t>
  </si>
  <si>
    <t>$.enveloppe.locaux_non_chauffes.*.id</t>
  </si>
  <si>
    <t>$.enveloppe.locaux_non_chauffes..baies..id</t>
  </si>
  <si>
    <t>$.enveloppe.locaux_non_chauffes..baies..description</t>
  </si>
  <si>
    <t>$.enveloppe.locaux_non_chauffes..baies..orientation</t>
  </si>
  <si>
    <t>$.enveloppe.locaux_non_chauffes..baies..inclinaison</t>
  </si>
  <si>
    <t>$.enveloppe.locaux_non_chauffes..baies..surface</t>
  </si>
  <si>
    <t>//enveloppe/ets_collection/ets/donnee_entree/reference</t>
  </si>
  <si>
    <t>//enveloppe/ets_collection/ets/donnee_entree/description</t>
  </si>
  <si>
    <t>//enveloppe/ets_collection/ets/donnee_entree/enum_cfg_isolation_lnc_id</t>
  </si>
  <si>
    <t>//enveloppe/ets_collection/ets/baie_ets_collection/baie_ets/donnee_entree/reference</t>
  </si>
  <si>
    <t>//enveloppe/ets_collection/ets/baie_ets_collection/baie_ets/donnee_entree/description</t>
  </si>
  <si>
    <t>//enveloppe/ets_collection/ets/baie_ets_collection/baie_ets/donnee_entree/enum_orientation_id</t>
  </si>
  <si>
    <t>//enveloppe/ets_collection/ets/baie_ets_collection/baie_ets/donnee_entree/enum_inclinaison_vitrage_id</t>
  </si>
  <si>
    <t>//enveloppe/ets_collection/ets/baie_ets_collection/baie_ets/donnee_entree/surface_totale_baie</t>
  </si>
  <si>
    <t>//enveloppe/ets_collection/ets/baie_ets_collection/baie_ets/donnee_entree/nb_baie</t>
  </si>
  <si>
    <t>$.enveloppe.locaux_non_chauffes..parois..isolation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</si>
</sst>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1"/>
      <color theme="1"/>
      <name val="Calibri"/>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NumberFormat="1" applyAlignment="1">
      <alignment horizontal="center"/>
    </xf>
    <xf numFmtId="0" fontId="0" fillId="0" borderId="0" xfId="0" applyNumberFormat="1" applyAlignment="1">
      <alignment horizontal="center" vertical="center" wrapText="1"/>
    </xf>
  </cellXfs>
  <cellStyles count="1">
    <cellStyle name="Normal" xfId="0" builtinId="0"/>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center" textRotation="0" wrapText="1" indent="0" justifyLastLine="0" shrinkToFit="0" readingOrder="0"/>
    </dxf>
    <dxf>
      <alignment horizontal="center" vertical="bottom" textRotation="0" wrapText="0" indent="0" justifyLastLine="0" shrinkToFit="0" readingOrder="0"/>
    </dxf>
    <dxf>
      <alignment horizontal="left" vertical="center"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20E33A-CF64-43A5-AE96-09C62A73B8B4}" name="correspondance" displayName="correspondance" ref="A1:H296" totalsRowShown="0" headerRowDxfId="14" dataDxfId="13">
  <autoFilter ref="A1:H296" xr:uid="{6520E33A-CF64-43A5-AE96-09C62A73B8B4}"/>
  <tableColumns count="8">
    <tableColumn id="5" xr3:uid="{FE145BB5-FBCB-4BFB-AFC6-45489085C5ED}" name="category" dataDxfId="12"/>
    <tableColumn id="8" xr3:uid="{1A523ABB-5966-44E0-B2A1-444548F5EE06}" name="origin.path" dataDxfId="11"/>
    <tableColumn id="1" xr3:uid="{AE91C23B-85A8-4BCB-A79D-931087CB680D}" name="origin.value" dataDxfId="10"/>
    <tableColumn id="10" xr3:uid="{1BA5D27C-653E-4A72-8E80-06F3A3EE6FE5}" name="origin.enum" dataDxfId="9">
      <calculatedColumnFormula>IFERROR(SUBSTITUTE(_xlfn.TEXTAFTER(correspondance[[#This Row],[origin.path]],"enum_"),"_id",""),"")</calculatedColumnFormula>
    </tableColumn>
    <tableColumn id="11" xr3:uid="{CD42B3C9-1A2A-44B5-8A4B-A1F14AAC2C64}" name="origin.lib" dataDxfId="8">
      <calculatedColumnFormula array="1">IFERROR(INDEX(enums[lib],MATCH(1,(enums[enum]=correspondance[[#This Row],[origin.enum]])*(enums[value]=correspondance[[#This Row],[origin.value]]),0),1),"")</calculatedColumnFormula>
    </tableColumn>
    <tableColumn id="9" xr3:uid="{F78317F7-231D-42AE-896E-ED548FF7CF5F}" name="target.path" dataDxfId="7"/>
    <tableColumn id="6" xr3:uid="{1947A8A3-2846-4158-A3CA-AEAFBD72E8D5}" name="target.value" dataDxfId="6"/>
    <tableColumn id="13" xr3:uid="{E21B76CD-5314-4677-BD20-42AA3B598561}" name="Colonne1" dataDxfId="5">
      <calculatedColumnFormula>LOWER(G2)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549FD-6D75-4398-97F3-35B2AD8F0FF9}" name="enums" displayName="enums" ref="A1:C1002" totalsRowShown="0" headerRowDxfId="4" dataDxfId="3">
  <autoFilter ref="A1:C1002" xr:uid="{53B549FD-6D75-4398-97F3-35B2AD8F0FF9}"/>
  <tableColumns count="3">
    <tableColumn id="1" xr3:uid="{E3EDCB37-B301-43D9-9213-233CA8E4320D}" name="enum" dataDxfId="2"/>
    <tableColumn id="2" xr3:uid="{055C75C9-AF1F-4647-9124-D64FFA9AD3A1}" name="value" dataDxfId="1"/>
    <tableColumn id="3" xr3:uid="{2ABC0183-3CD2-4FC8-B09C-3B7824573597}" name="lib"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5B97-C348-41DC-8FF8-041A9AD95FDF}">
  <dimension ref="A1:G83"/>
  <sheetViews>
    <sheetView zoomScale="85" zoomScaleNormal="85" workbookViewId="0">
      <selection activeCell="C12" sqref="C12"/>
    </sheetView>
  </sheetViews>
  <sheetFormatPr baseColWidth="10" defaultRowHeight="14.4" x14ac:dyDescent="0.3"/>
  <cols>
    <col min="1" max="1" width="19" style="4" customWidth="1"/>
    <col min="2" max="2" width="54.6640625" style="2" bestFit="1" customWidth="1"/>
    <col min="3" max="3" width="93.88671875" style="2" customWidth="1"/>
    <col min="4" max="5" width="11.5546875" style="3"/>
    <col min="6" max="6" width="26" style="3" bestFit="1" customWidth="1"/>
    <col min="7" max="16384" width="11.5546875" style="3"/>
  </cols>
  <sheetData>
    <row r="1" spans="1:3" x14ac:dyDescent="0.3">
      <c r="A1" s="5" t="s">
        <v>947</v>
      </c>
      <c r="B1" s="10" t="s">
        <v>948</v>
      </c>
      <c r="C1" s="10" t="s">
        <v>949</v>
      </c>
    </row>
    <row r="2" spans="1:3" x14ac:dyDescent="0.3">
      <c r="A2" s="4" t="s">
        <v>919</v>
      </c>
      <c r="B2" s="2" t="s">
        <v>925</v>
      </c>
      <c r="C2" s="2" t="s">
        <v>905</v>
      </c>
    </row>
    <row r="3" spans="1:3" x14ac:dyDescent="0.3">
      <c r="A3" s="4" t="s">
        <v>919</v>
      </c>
      <c r="B3" s="2" t="s">
        <v>926</v>
      </c>
      <c r="C3" s="2" t="s">
        <v>906</v>
      </c>
    </row>
    <row r="4" spans="1:3" x14ac:dyDescent="0.3">
      <c r="A4" s="4" t="s">
        <v>919</v>
      </c>
      <c r="B4" s="2" t="s">
        <v>927</v>
      </c>
      <c r="C4" s="11" t="s">
        <v>944</v>
      </c>
    </row>
    <row r="5" spans="1:3" x14ac:dyDescent="0.3">
      <c r="A5" s="4" t="s">
        <v>919</v>
      </c>
      <c r="B5" s="2" t="s">
        <v>927</v>
      </c>
      <c r="C5" s="11" t="s">
        <v>945</v>
      </c>
    </row>
    <row r="6" spans="1:3" x14ac:dyDescent="0.3">
      <c r="A6" s="4" t="s">
        <v>919</v>
      </c>
      <c r="B6" s="2" t="s">
        <v>928</v>
      </c>
      <c r="C6" s="2" t="s">
        <v>907</v>
      </c>
    </row>
    <row r="7" spans="1:3" x14ac:dyDescent="0.3">
      <c r="A7" s="4" t="s">
        <v>919</v>
      </c>
      <c r="B7" s="2" t="s">
        <v>929</v>
      </c>
      <c r="C7" s="2" t="s">
        <v>907</v>
      </c>
    </row>
    <row r="8" spans="1:3" x14ac:dyDescent="0.3">
      <c r="A8" s="4" t="s">
        <v>919</v>
      </c>
      <c r="B8" s="2" t="s">
        <v>912</v>
      </c>
      <c r="C8" s="2" t="s">
        <v>904</v>
      </c>
    </row>
    <row r="9" spans="1:3" x14ac:dyDescent="0.3">
      <c r="A9" s="4" t="s">
        <v>919</v>
      </c>
      <c r="B9" s="2" t="s">
        <v>946</v>
      </c>
      <c r="C9" s="2" t="s">
        <v>907</v>
      </c>
    </row>
    <row r="10" spans="1:3" x14ac:dyDescent="0.3">
      <c r="A10" s="4" t="s">
        <v>919</v>
      </c>
      <c r="B10" s="2" t="s">
        <v>921</v>
      </c>
      <c r="C10" s="2" t="s">
        <v>907</v>
      </c>
    </row>
    <row r="11" spans="1:3" x14ac:dyDescent="0.3">
      <c r="A11" s="4" t="s">
        <v>919</v>
      </c>
      <c r="B11" s="2" t="s">
        <v>930</v>
      </c>
      <c r="C11" s="2" t="s">
        <v>908</v>
      </c>
    </row>
    <row r="12" spans="1:3" x14ac:dyDescent="0.3">
      <c r="A12" s="4" t="s">
        <v>919</v>
      </c>
      <c r="B12" s="2" t="s">
        <v>924</v>
      </c>
      <c r="C12" s="2" t="s">
        <v>907</v>
      </c>
    </row>
    <row r="13" spans="1:3" x14ac:dyDescent="0.3">
      <c r="A13" s="4" t="s">
        <v>919</v>
      </c>
      <c r="B13" s="2" t="s">
        <v>923</v>
      </c>
      <c r="C13" s="2" t="s">
        <v>909</v>
      </c>
    </row>
    <row r="14" spans="1:3" x14ac:dyDescent="0.3">
      <c r="A14" s="4" t="s">
        <v>919</v>
      </c>
      <c r="B14" s="2" t="s">
        <v>922</v>
      </c>
      <c r="C14" s="2" t="s">
        <v>910</v>
      </c>
    </row>
    <row r="15" spans="1:3" x14ac:dyDescent="0.3">
      <c r="A15" s="4" t="s">
        <v>919</v>
      </c>
      <c r="B15" s="2" t="s">
        <v>913</v>
      </c>
      <c r="C15" s="2" t="s">
        <v>911</v>
      </c>
    </row>
    <row r="16" spans="1:3" x14ac:dyDescent="0.3">
      <c r="A16" s="4" t="s">
        <v>919</v>
      </c>
      <c r="B16" s="2" t="s">
        <v>920</v>
      </c>
      <c r="C16" s="2" t="s">
        <v>915</v>
      </c>
    </row>
    <row r="17" spans="1:7" x14ac:dyDescent="0.3">
      <c r="A17" s="4" t="s">
        <v>919</v>
      </c>
      <c r="B17" s="2" t="s">
        <v>918</v>
      </c>
      <c r="C17" s="2" t="s">
        <v>916</v>
      </c>
    </row>
    <row r="18" spans="1:7" x14ac:dyDescent="0.3">
      <c r="A18" s="4" t="s">
        <v>919</v>
      </c>
      <c r="B18" s="2" t="s">
        <v>914</v>
      </c>
      <c r="C18" s="2" t="s">
        <v>917</v>
      </c>
    </row>
    <row r="19" spans="1:7" x14ac:dyDescent="0.3">
      <c r="A19" s="4" t="s">
        <v>962</v>
      </c>
      <c r="B19" s="2" t="s">
        <v>963</v>
      </c>
      <c r="C19" s="2" t="s">
        <v>954</v>
      </c>
    </row>
    <row r="20" spans="1:7" x14ac:dyDescent="0.3">
      <c r="A20" s="4" t="s">
        <v>962</v>
      </c>
      <c r="B20" s="2" t="s">
        <v>964</v>
      </c>
      <c r="C20" s="11" t="s">
        <v>961</v>
      </c>
    </row>
    <row r="21" spans="1:7" x14ac:dyDescent="0.3">
      <c r="A21" s="4" t="s">
        <v>962</v>
      </c>
      <c r="B21" s="2" t="s">
        <v>964</v>
      </c>
      <c r="C21" s="11" t="s">
        <v>960</v>
      </c>
    </row>
    <row r="22" spans="1:7" x14ac:dyDescent="0.3">
      <c r="A22" s="4" t="s">
        <v>962</v>
      </c>
      <c r="B22" s="2" t="s">
        <v>965</v>
      </c>
      <c r="C22" s="11" t="s">
        <v>961</v>
      </c>
    </row>
    <row r="23" spans="1:7" x14ac:dyDescent="0.3">
      <c r="A23" s="4" t="s">
        <v>962</v>
      </c>
      <c r="B23" s="2" t="s">
        <v>965</v>
      </c>
      <c r="C23" s="11" t="s">
        <v>960</v>
      </c>
    </row>
    <row r="24" spans="1:7" x14ac:dyDescent="0.3">
      <c r="A24" s="4" t="s">
        <v>962</v>
      </c>
      <c r="B24" s="2" t="s">
        <v>966</v>
      </c>
      <c r="C24" s="2" t="s">
        <v>955</v>
      </c>
    </row>
    <row r="25" spans="1:7" x14ac:dyDescent="0.3">
      <c r="A25" s="4" t="s">
        <v>962</v>
      </c>
      <c r="B25" s="2" t="s">
        <v>967</v>
      </c>
      <c r="C25" s="2" t="s">
        <v>956</v>
      </c>
    </row>
    <row r="26" spans="1:7" x14ac:dyDescent="0.3">
      <c r="A26" s="4" t="s">
        <v>962</v>
      </c>
      <c r="B26" s="2" t="s">
        <v>968</v>
      </c>
      <c r="C26" s="2" t="s">
        <v>957</v>
      </c>
    </row>
    <row r="27" spans="1:7" x14ac:dyDescent="0.3">
      <c r="A27" s="4" t="s">
        <v>962</v>
      </c>
      <c r="B27" s="2" t="s">
        <v>969</v>
      </c>
      <c r="C27" s="2" t="s">
        <v>958</v>
      </c>
    </row>
    <row r="28" spans="1:7" x14ac:dyDescent="0.3">
      <c r="A28" s="4" t="s">
        <v>962</v>
      </c>
      <c r="B28" s="2" t="s">
        <v>970</v>
      </c>
      <c r="C28" s="2" t="s">
        <v>959</v>
      </c>
    </row>
    <row r="29" spans="1:7" x14ac:dyDescent="0.3">
      <c r="A29" s="4" t="s">
        <v>988</v>
      </c>
      <c r="B29" s="2" t="s">
        <v>990</v>
      </c>
      <c r="C29" s="2" t="s">
        <v>976</v>
      </c>
    </row>
    <row r="30" spans="1:7" x14ac:dyDescent="0.3">
      <c r="A30" s="4" t="s">
        <v>988</v>
      </c>
      <c r="B30" s="2" t="s">
        <v>991</v>
      </c>
      <c r="C30" s="2" t="s">
        <v>977</v>
      </c>
      <c r="F30" s="3" t="s">
        <v>989</v>
      </c>
      <c r="G30" s="3" t="str">
        <f>$F$30&amp;B29</f>
        <v>$.enveloppe.planchers_hauts..$.enveloppe.planchers_hauts..id</v>
      </c>
    </row>
    <row r="31" spans="1:7" x14ac:dyDescent="0.3">
      <c r="A31" s="4" t="s">
        <v>988</v>
      </c>
      <c r="B31" s="2" t="s">
        <v>992</v>
      </c>
      <c r="C31" s="11" t="s">
        <v>1003</v>
      </c>
      <c r="G31" s="3" t="str">
        <f t="shared" ref="G31:G42" si="0">$F$30&amp;B30</f>
        <v>$.enveloppe.planchers_hauts..$.enveloppe.planchers_hauts..description</v>
      </c>
    </row>
    <row r="32" spans="1:7" x14ac:dyDescent="0.3">
      <c r="A32" s="4" t="s">
        <v>988</v>
      </c>
      <c r="B32" s="2" t="s">
        <v>1005</v>
      </c>
      <c r="C32" s="2" t="s">
        <v>978</v>
      </c>
      <c r="G32" s="3" t="str">
        <f>$F$30&amp;B31</f>
        <v>$.enveloppe.planchers_hauts..$.enveloppe.planchers_hauts..surface</v>
      </c>
    </row>
    <row r="33" spans="1:7" x14ac:dyDescent="0.3">
      <c r="A33" s="4" t="s">
        <v>988</v>
      </c>
      <c r="B33" s="2" t="s">
        <v>994</v>
      </c>
      <c r="C33" s="2" t="s">
        <v>980</v>
      </c>
      <c r="G33" s="3" t="e">
        <f>$F$30&amp;#REF!</f>
        <v>#REF!</v>
      </c>
    </row>
    <row r="34" spans="1:7" x14ac:dyDescent="0.3">
      <c r="A34" s="4" t="s">
        <v>988</v>
      </c>
      <c r="B34" s="2" t="s">
        <v>995</v>
      </c>
      <c r="C34" s="2" t="s">
        <v>981</v>
      </c>
      <c r="G34" s="3" t="str">
        <f t="shared" si="0"/>
        <v>$.enveloppe.planchers_hauts..$.enveloppe.planchers_hauts..u0</v>
      </c>
    </row>
    <row r="35" spans="1:7" x14ac:dyDescent="0.3">
      <c r="A35" s="4" t="s">
        <v>988</v>
      </c>
      <c r="B35" s="2" t="s">
        <v>996</v>
      </c>
      <c r="C35" s="2" t="s">
        <v>982</v>
      </c>
      <c r="G35" s="3" t="str">
        <f t="shared" si="0"/>
        <v>$.enveloppe.planchers_hauts..$.enveloppe.planchers_hauts..u</v>
      </c>
    </row>
    <row r="36" spans="1:7" x14ac:dyDescent="0.3">
      <c r="A36" s="4" t="s">
        <v>988</v>
      </c>
      <c r="B36" s="2" t="s">
        <v>997</v>
      </c>
      <c r="C36" s="2" t="s">
        <v>983</v>
      </c>
      <c r="G36" s="3" t="str">
        <f t="shared" si="0"/>
        <v>$.enveloppe.planchers_hauts..$.enveloppe.planchers_hauts..local_non_chauffe_id</v>
      </c>
    </row>
    <row r="37" spans="1:7" x14ac:dyDescent="0.3">
      <c r="A37" s="4" t="s">
        <v>988</v>
      </c>
      <c r="B37" s="2" t="s">
        <v>998</v>
      </c>
      <c r="C37" s="2" t="s">
        <v>984</v>
      </c>
      <c r="G37" s="3" t="str">
        <f t="shared" si="0"/>
        <v>$.enveloppe.planchers_hauts..$.enveloppe.planchers_hauts..mitoyennete</v>
      </c>
    </row>
    <row r="38" spans="1:7" x14ac:dyDescent="0.3">
      <c r="A38" s="4" t="s">
        <v>988</v>
      </c>
      <c r="B38" s="2" t="s">
        <v>999</v>
      </c>
      <c r="C38" s="2" t="s">
        <v>984</v>
      </c>
      <c r="G38" s="3" t="str">
        <f t="shared" si="0"/>
        <v>$.enveloppe.planchers_hauts..$.enveloppe.planchers_hauts..etat_isolation</v>
      </c>
    </row>
    <row r="39" spans="1:7" x14ac:dyDescent="0.3">
      <c r="A39" s="4" t="s">
        <v>988</v>
      </c>
      <c r="B39" s="2" t="s">
        <v>1000</v>
      </c>
      <c r="C39" s="2" t="s">
        <v>985</v>
      </c>
      <c r="G39" s="3" t="str">
        <f t="shared" si="0"/>
        <v>$.enveloppe.planchers_hauts..$.enveloppe.planchers_hauts..type_isolation</v>
      </c>
    </row>
    <row r="40" spans="1:7" x14ac:dyDescent="0.3">
      <c r="A40" s="4" t="s">
        <v>988</v>
      </c>
      <c r="B40" s="2" t="s">
        <v>1001</v>
      </c>
      <c r="C40" s="2" t="s">
        <v>986</v>
      </c>
      <c r="G40" s="3" t="str">
        <f t="shared" si="0"/>
        <v>$.enveloppe.planchers_hauts..$.enveloppe.planchers_hauts..annee_isolation</v>
      </c>
    </row>
    <row r="41" spans="1:7" x14ac:dyDescent="0.3">
      <c r="A41" s="4" t="s">
        <v>988</v>
      </c>
      <c r="B41" s="2" t="s">
        <v>1002</v>
      </c>
      <c r="C41" s="2" t="s">
        <v>987</v>
      </c>
      <c r="G41" s="3" t="str">
        <f t="shared" si="0"/>
        <v>$.enveloppe.planchers_hauts..$.enveloppe.planchers_hauts..epaisseur_isolation</v>
      </c>
    </row>
    <row r="42" spans="1:7" x14ac:dyDescent="0.3">
      <c r="A42" s="4" t="s">
        <v>988</v>
      </c>
      <c r="B42" s="2" t="s">
        <v>1046</v>
      </c>
      <c r="C42" s="2" t="s">
        <v>1031</v>
      </c>
      <c r="G42" s="3" t="str">
        <f t="shared" si="0"/>
        <v>$.enveloppe.planchers_hauts..$.enveloppe.planchers_hauts..resistance_thermique_isolation</v>
      </c>
    </row>
    <row r="43" spans="1:7" x14ac:dyDescent="0.3">
      <c r="A43" s="4" t="s">
        <v>988</v>
      </c>
      <c r="B43" s="2" t="s">
        <v>1047</v>
      </c>
      <c r="C43" s="2" t="s">
        <v>1032</v>
      </c>
    </row>
    <row r="44" spans="1:7" x14ac:dyDescent="0.3">
      <c r="A44" s="4" t="s">
        <v>988</v>
      </c>
      <c r="B44" s="2" t="s">
        <v>1048</v>
      </c>
      <c r="C44" s="2" t="s">
        <v>1033</v>
      </c>
    </row>
    <row r="45" spans="1:7" x14ac:dyDescent="0.3">
      <c r="A45" s="4" t="s">
        <v>988</v>
      </c>
      <c r="B45" s="2" t="s">
        <v>1049</v>
      </c>
      <c r="C45" s="11" t="s">
        <v>1069</v>
      </c>
    </row>
    <row r="46" spans="1:7" x14ac:dyDescent="0.3">
      <c r="A46" s="4" t="s">
        <v>988</v>
      </c>
      <c r="B46" s="2" t="s">
        <v>1059</v>
      </c>
      <c r="C46" s="2" t="s">
        <v>1034</v>
      </c>
    </row>
    <row r="47" spans="1:7" x14ac:dyDescent="0.3">
      <c r="A47" s="4" t="s">
        <v>988</v>
      </c>
      <c r="B47" s="2" t="s">
        <v>1050</v>
      </c>
      <c r="C47" s="2" t="s">
        <v>1036</v>
      </c>
    </row>
    <row r="48" spans="1:7" x14ac:dyDescent="0.3">
      <c r="A48" s="4" t="s">
        <v>988</v>
      </c>
      <c r="B48" s="2" t="s">
        <v>1051</v>
      </c>
      <c r="C48" s="2" t="s">
        <v>1037</v>
      </c>
    </row>
    <row r="49" spans="1:4" x14ac:dyDescent="0.3">
      <c r="A49" s="4" t="s">
        <v>988</v>
      </c>
      <c r="B49" s="2" t="s">
        <v>1052</v>
      </c>
      <c r="C49" s="2" t="s">
        <v>1038</v>
      </c>
    </row>
    <row r="50" spans="1:4" x14ac:dyDescent="0.3">
      <c r="A50" s="4" t="s">
        <v>988</v>
      </c>
      <c r="B50" s="2" t="s">
        <v>1053</v>
      </c>
      <c r="C50" s="2" t="s">
        <v>1039</v>
      </c>
    </row>
    <row r="51" spans="1:4" x14ac:dyDescent="0.3">
      <c r="A51" s="4" t="s">
        <v>988</v>
      </c>
      <c r="B51" s="2" t="s">
        <v>1054</v>
      </c>
      <c r="C51" s="2" t="s">
        <v>1040</v>
      </c>
    </row>
    <row r="52" spans="1:4" x14ac:dyDescent="0.3">
      <c r="A52" s="4" t="s">
        <v>988</v>
      </c>
      <c r="B52" s="2" t="s">
        <v>1055</v>
      </c>
      <c r="C52" s="2" t="s">
        <v>1040</v>
      </c>
    </row>
    <row r="53" spans="1:4" x14ac:dyDescent="0.3">
      <c r="A53" s="4" t="s">
        <v>988</v>
      </c>
      <c r="B53" s="2" t="s">
        <v>1056</v>
      </c>
      <c r="C53" s="2" t="s">
        <v>1041</v>
      </c>
    </row>
    <row r="54" spans="1:4" x14ac:dyDescent="0.3">
      <c r="A54" s="4" t="s">
        <v>988</v>
      </c>
      <c r="B54" s="2" t="s">
        <v>1057</v>
      </c>
      <c r="C54" s="2" t="s">
        <v>1042</v>
      </c>
    </row>
    <row r="55" spans="1:4" x14ac:dyDescent="0.3">
      <c r="A55" s="4" t="s">
        <v>988</v>
      </c>
      <c r="B55" s="2" t="s">
        <v>1058</v>
      </c>
      <c r="C55" s="2" t="s">
        <v>1043</v>
      </c>
    </row>
    <row r="56" spans="1:4" x14ac:dyDescent="0.3">
      <c r="A56" s="4" t="s">
        <v>1085</v>
      </c>
      <c r="B56" s="2" t="s">
        <v>1090</v>
      </c>
      <c r="C56" s="11" t="s">
        <v>1086</v>
      </c>
      <c r="D56" s="3" t="str">
        <f>"$.enveloppe.murs.."&amp;B56</f>
        <v>$.enveloppe.murs..$.enveloppe.murs..id</v>
      </c>
    </row>
    <row r="57" spans="1:4" x14ac:dyDescent="0.3">
      <c r="A57" s="4" t="s">
        <v>1085</v>
      </c>
      <c r="B57" s="2" t="s">
        <v>1091</v>
      </c>
      <c r="C57" s="2" t="s">
        <v>1087</v>
      </c>
      <c r="D57" s="3" t="str">
        <f t="shared" ref="D57:D75" si="1">"$.enveloppe.murs.."&amp;B57</f>
        <v>$.enveloppe.murs..$.enveloppe.murs..description</v>
      </c>
    </row>
    <row r="58" spans="1:4" x14ac:dyDescent="0.3">
      <c r="A58" s="4" t="s">
        <v>1085</v>
      </c>
      <c r="B58" s="2" t="s">
        <v>1092</v>
      </c>
      <c r="C58" s="11" t="s">
        <v>1089</v>
      </c>
      <c r="D58" s="3" t="str">
        <f t="shared" si="1"/>
        <v>$.enveloppe.murs..$.enveloppe.murs..surface</v>
      </c>
    </row>
    <row r="59" spans="1:4" x14ac:dyDescent="0.3">
      <c r="A59" s="4" t="s">
        <v>1085</v>
      </c>
      <c r="B59" s="2" t="s">
        <v>1092</v>
      </c>
      <c r="C59" s="11" t="s">
        <v>1088</v>
      </c>
      <c r="D59" s="3" t="str">
        <f t="shared" si="1"/>
        <v>$.enveloppe.murs..$.enveloppe.murs..surface</v>
      </c>
    </row>
    <row r="60" spans="1:4" x14ac:dyDescent="0.3">
      <c r="A60" s="4" t="s">
        <v>1085</v>
      </c>
      <c r="B60" s="2" t="s">
        <v>1107</v>
      </c>
      <c r="C60" s="2" t="s">
        <v>1070</v>
      </c>
      <c r="D60" s="3" t="str">
        <f t="shared" si="1"/>
        <v>$.enveloppe.murs..$.enveloppe.murs..type_structure</v>
      </c>
    </row>
    <row r="61" spans="1:4" x14ac:dyDescent="0.3">
      <c r="A61" s="4" t="s">
        <v>1085</v>
      </c>
      <c r="B61" s="2" t="s">
        <v>1093</v>
      </c>
      <c r="C61" s="2" t="s">
        <v>1071</v>
      </c>
      <c r="D61" s="3" t="str">
        <f t="shared" si="1"/>
        <v>$.enveloppe.murs..$.enveloppe.murs..type_doublage</v>
      </c>
    </row>
    <row r="62" spans="1:4" x14ac:dyDescent="0.3">
      <c r="A62" s="4" t="s">
        <v>1085</v>
      </c>
      <c r="B62" s="2" t="s">
        <v>1108</v>
      </c>
      <c r="C62" s="2" t="s">
        <v>1072</v>
      </c>
      <c r="D62" s="3" t="str">
        <f t="shared" si="1"/>
        <v>$.enveloppe.murs..$.enveloppe.murs..epaisseur_structure</v>
      </c>
    </row>
    <row r="63" spans="1:4" x14ac:dyDescent="0.3">
      <c r="A63" s="4" t="s">
        <v>1085</v>
      </c>
      <c r="B63" s="2" t="s">
        <v>1094</v>
      </c>
      <c r="C63" s="2" t="s">
        <v>1073</v>
      </c>
      <c r="D63" s="3" t="str">
        <f t="shared" si="1"/>
        <v>$.enveloppe.murs..$.enveloppe.murs..presence_enduit_isolant</v>
      </c>
    </row>
    <row r="64" spans="1:4" x14ac:dyDescent="0.3">
      <c r="A64" s="4" t="s">
        <v>1085</v>
      </c>
      <c r="B64" s="2" t="s">
        <v>1095</v>
      </c>
      <c r="C64" s="2" t="s">
        <v>1074</v>
      </c>
      <c r="D64" s="3" t="str">
        <f t="shared" si="1"/>
        <v>$.enveloppe.murs..$.enveloppe.murs..paroi_ancienne</v>
      </c>
    </row>
    <row r="65" spans="1:4" x14ac:dyDescent="0.3">
      <c r="A65" s="4" t="s">
        <v>1085</v>
      </c>
      <c r="B65" s="2" t="s">
        <v>1097</v>
      </c>
      <c r="C65" s="2" t="s">
        <v>1076</v>
      </c>
      <c r="D65" s="3" t="str">
        <f t="shared" si="1"/>
        <v>$.enveloppe.murs..$.enveloppe.murs..u0</v>
      </c>
    </row>
    <row r="66" spans="1:4" x14ac:dyDescent="0.3">
      <c r="A66" s="4" t="s">
        <v>1085</v>
      </c>
      <c r="B66" s="2" t="s">
        <v>1098</v>
      </c>
      <c r="C66" s="2" t="s">
        <v>1077</v>
      </c>
      <c r="D66" s="3" t="str">
        <f t="shared" si="1"/>
        <v>$.enveloppe.murs..$.enveloppe.murs..u</v>
      </c>
    </row>
    <row r="67" spans="1:4" x14ac:dyDescent="0.3">
      <c r="A67" s="4" t="s">
        <v>1085</v>
      </c>
      <c r="B67" s="2" t="s">
        <v>1099</v>
      </c>
      <c r="C67" s="2" t="s">
        <v>1078</v>
      </c>
      <c r="D67" s="3" t="str">
        <f t="shared" si="1"/>
        <v>$.enveloppe.murs..$.enveloppe.murs..local_non_chauffe_id</v>
      </c>
    </row>
    <row r="68" spans="1:4" x14ac:dyDescent="0.3">
      <c r="A68" s="4" t="s">
        <v>1085</v>
      </c>
      <c r="B68" s="2" t="s">
        <v>1100</v>
      </c>
      <c r="C68" s="2" t="s">
        <v>1079</v>
      </c>
      <c r="D68" s="3" t="str">
        <f t="shared" si="1"/>
        <v>$.enveloppe.murs..$.enveloppe.murs..mitoyennete</v>
      </c>
    </row>
    <row r="69" spans="1:4" x14ac:dyDescent="0.3">
      <c r="A69" s="4" t="s">
        <v>1085</v>
      </c>
      <c r="B69" s="2" t="s">
        <v>1101</v>
      </c>
      <c r="C69" s="2" t="s">
        <v>1080</v>
      </c>
      <c r="D69" s="3" t="str">
        <f t="shared" si="1"/>
        <v>$.enveloppe.murs..$.enveloppe.murs..orientation</v>
      </c>
    </row>
    <row r="70" spans="1:4" x14ac:dyDescent="0.3">
      <c r="A70" s="4" t="s">
        <v>1085</v>
      </c>
      <c r="B70" s="2" t="s">
        <v>1102</v>
      </c>
      <c r="C70" s="2" t="s">
        <v>1081</v>
      </c>
      <c r="D70" s="3" t="str">
        <f t="shared" si="1"/>
        <v>$.enveloppe.murs..$.enveloppe.murs..etat_isolation</v>
      </c>
    </row>
    <row r="71" spans="1:4" x14ac:dyDescent="0.3">
      <c r="A71" s="4" t="s">
        <v>1085</v>
      </c>
      <c r="B71" s="2" t="s">
        <v>1103</v>
      </c>
      <c r="C71" s="2" t="s">
        <v>1081</v>
      </c>
      <c r="D71" s="3" t="str">
        <f t="shared" si="1"/>
        <v>$.enveloppe.murs..$.enveloppe.murs..type_isolation</v>
      </c>
    </row>
    <row r="72" spans="1:4" x14ac:dyDescent="0.3">
      <c r="A72" s="4" t="s">
        <v>1085</v>
      </c>
      <c r="B72" s="2" t="s">
        <v>1104</v>
      </c>
      <c r="C72" s="2" t="s">
        <v>1082</v>
      </c>
      <c r="D72" s="3" t="str">
        <f t="shared" si="1"/>
        <v>$.enveloppe.murs..$.enveloppe.murs..annee_isolation</v>
      </c>
    </row>
    <row r="73" spans="1:4" x14ac:dyDescent="0.3">
      <c r="A73" s="4" t="s">
        <v>1085</v>
      </c>
      <c r="B73" s="2" t="s">
        <v>1105</v>
      </c>
      <c r="C73" s="2" t="s">
        <v>1083</v>
      </c>
      <c r="D73" s="3" t="str">
        <f t="shared" si="1"/>
        <v>$.enveloppe.murs..$.enveloppe.murs..epaisseur_isolation</v>
      </c>
    </row>
    <row r="74" spans="1:4" x14ac:dyDescent="0.3">
      <c r="A74" s="4" t="s">
        <v>1085</v>
      </c>
      <c r="B74" s="2" t="s">
        <v>1106</v>
      </c>
      <c r="C74" s="2" t="s">
        <v>1084</v>
      </c>
      <c r="D74" s="3" t="str">
        <f t="shared" si="1"/>
        <v>$.enveloppe.murs..$.enveloppe.murs..resistance_thermique_isolation</v>
      </c>
    </row>
    <row r="75" spans="1:4" x14ac:dyDescent="0.3">
      <c r="A75" s="4" t="s">
        <v>1133</v>
      </c>
      <c r="B75" s="2" t="s">
        <v>1135</v>
      </c>
      <c r="C75" s="2" t="s">
        <v>1141</v>
      </c>
      <c r="D75" s="3" t="str">
        <f t="shared" si="1"/>
        <v>$.enveloppe.murs..$.enveloppe.locaux_non_chauffes.*.id</v>
      </c>
    </row>
    <row r="76" spans="1:4" x14ac:dyDescent="0.3">
      <c r="A76" s="4" t="s">
        <v>1133</v>
      </c>
      <c r="B76" s="2" t="s">
        <v>1134</v>
      </c>
      <c r="C76" s="2" t="s">
        <v>1142</v>
      </c>
    </row>
    <row r="77" spans="1:4" x14ac:dyDescent="0.3">
      <c r="A77" s="4" t="s">
        <v>1133</v>
      </c>
      <c r="B77" s="2" t="s">
        <v>1150</v>
      </c>
      <c r="C77" s="2" t="s">
        <v>1143</v>
      </c>
    </row>
    <row r="78" spans="1:4" x14ac:dyDescent="0.3">
      <c r="A78" s="4" t="s">
        <v>1133</v>
      </c>
      <c r="B78" s="2" t="s">
        <v>1136</v>
      </c>
      <c r="C78" s="2" t="s">
        <v>1144</v>
      </c>
    </row>
    <row r="79" spans="1:4" x14ac:dyDescent="0.3">
      <c r="A79" s="4" t="s">
        <v>1133</v>
      </c>
      <c r="B79" s="2" t="s">
        <v>1137</v>
      </c>
      <c r="C79" s="2" t="s">
        <v>1145</v>
      </c>
    </row>
    <row r="80" spans="1:4" x14ac:dyDescent="0.3">
      <c r="A80" s="4" t="s">
        <v>1133</v>
      </c>
      <c r="B80" s="2" t="s">
        <v>1138</v>
      </c>
      <c r="C80" s="2" t="s">
        <v>1146</v>
      </c>
    </row>
    <row r="81" spans="1:3" x14ac:dyDescent="0.3">
      <c r="A81" s="4" t="s">
        <v>1133</v>
      </c>
      <c r="B81" s="2" t="s">
        <v>1139</v>
      </c>
      <c r="C81" s="2" t="s">
        <v>1147</v>
      </c>
    </row>
    <row r="82" spans="1:3" x14ac:dyDescent="0.3">
      <c r="A82" s="4" t="s">
        <v>1133</v>
      </c>
      <c r="B82" s="2" t="s">
        <v>1140</v>
      </c>
      <c r="C82" s="2" t="s">
        <v>1148</v>
      </c>
    </row>
    <row r="83" spans="1:3" x14ac:dyDescent="0.3">
      <c r="A83" s="4" t="s">
        <v>1133</v>
      </c>
      <c r="B83" s="2" t="s">
        <v>1140</v>
      </c>
      <c r="C83" s="2" t="s">
        <v>1149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2587-B443-45E5-A418-1759F949E950}">
  <dimension ref="A1:H296"/>
  <sheetViews>
    <sheetView topLeftCell="A3" zoomScale="85" zoomScaleNormal="85" workbookViewId="0">
      <selection activeCell="E3" sqref="E3"/>
    </sheetView>
  </sheetViews>
  <sheetFormatPr baseColWidth="10" defaultRowHeight="14.4" x14ac:dyDescent="0.3"/>
  <cols>
    <col min="1" max="1" width="22.5546875" style="8" customWidth="1"/>
    <col min="2" max="2" width="96.6640625" style="8" bestFit="1" customWidth="1"/>
    <col min="3" max="3" width="15.88671875" style="8" bestFit="1" customWidth="1"/>
    <col min="4" max="4" width="22.5546875" style="8" bestFit="1" customWidth="1"/>
    <col min="5" max="5" width="62.6640625" style="8" customWidth="1"/>
    <col min="6" max="6" width="49" style="6" bestFit="1" customWidth="1"/>
    <col min="7" max="7" width="57.6640625" style="6" bestFit="1" customWidth="1"/>
    <col min="8" max="8" width="57.6640625" style="8" bestFit="1" customWidth="1"/>
    <col min="9" max="16384" width="11.5546875" style="8"/>
  </cols>
  <sheetData>
    <row r="1" spans="1:8" x14ac:dyDescent="0.3">
      <c r="A1" s="9" t="s">
        <v>947</v>
      </c>
      <c r="B1" s="7" t="s">
        <v>935</v>
      </c>
      <c r="C1" s="7" t="s">
        <v>950</v>
      </c>
      <c r="D1" s="7" t="s">
        <v>952</v>
      </c>
      <c r="E1" s="7" t="s">
        <v>953</v>
      </c>
      <c r="F1" s="7" t="s">
        <v>932</v>
      </c>
      <c r="G1" s="7" t="s">
        <v>951</v>
      </c>
      <c r="H1" s="9" t="s">
        <v>931</v>
      </c>
    </row>
    <row r="2" spans="1:8" x14ac:dyDescent="0.3">
      <c r="A2" s="6" t="s">
        <v>919</v>
      </c>
      <c r="B2" s="11" t="s">
        <v>907</v>
      </c>
      <c r="C2" s="1">
        <v>1</v>
      </c>
      <c r="D2" s="1" t="str">
        <f>IFERROR(SUBSTITUTE(_xlfn.TEXTAFTER(correspondance[[#This Row],[origin.path]],"enum_"),"_id",""),"")</f>
        <v>type_porte</v>
      </c>
      <c r="E2" s="1" t="str" cm="1">
        <f t="array" ref="E2">IFERROR(INDEX(enums[lib],MATCH(1,(enums[enum]=correspondance[[#This Row],[origin.enum]])*(enums[value]=correspondance[[#This Row],[origin.value]]),0),1),"")</f>
        <v>porte simple en bois porte opaque pleine</v>
      </c>
      <c r="F2" s="2" t="s">
        <v>928</v>
      </c>
      <c r="G2" s="1" t="s">
        <v>936</v>
      </c>
      <c r="H2" s="6" t="str">
        <f t="shared" ref="H2:H65" si="0">LOWER(G2)</f>
        <v>non_isole</v>
      </c>
    </row>
    <row r="3" spans="1:8" x14ac:dyDescent="0.3">
      <c r="A3" s="6" t="s">
        <v>919</v>
      </c>
      <c r="B3" s="11" t="s">
        <v>907</v>
      </c>
      <c r="C3" s="1">
        <v>2</v>
      </c>
      <c r="D3" s="1" t="str">
        <f>IFERROR(SUBSTITUTE(_xlfn.TEXTAFTER(correspondance[[#This Row],[origin.path]],"enum_"),"_id",""),"")</f>
        <v>type_porte</v>
      </c>
      <c r="E3" s="1" t="str" cm="1">
        <f t="array" ref="E3">IFERROR(INDEX(enums[lib],MATCH(1,(enums[enum]=correspondance[[#This Row],[origin.enum]])*(enums[value]=correspondance[[#This Row],[origin.value]]),0),1),"")</f>
        <v>porte simple en bois porte avec moins de 30% de vitrage simple</v>
      </c>
      <c r="F3" s="2" t="s">
        <v>928</v>
      </c>
      <c r="G3" s="1" t="s">
        <v>936</v>
      </c>
      <c r="H3" s="6" t="str">
        <f t="shared" si="0"/>
        <v>non_isole</v>
      </c>
    </row>
    <row r="4" spans="1:8" x14ac:dyDescent="0.3">
      <c r="A4" s="6" t="s">
        <v>919</v>
      </c>
      <c r="B4" s="11" t="s">
        <v>907</v>
      </c>
      <c r="C4" s="1">
        <v>3</v>
      </c>
      <c r="D4" s="1" t="str">
        <f>IFERROR(SUBSTITUTE(_xlfn.TEXTAFTER(correspondance[[#This Row],[origin.path]],"enum_"),"_id",""),"")</f>
        <v>type_porte</v>
      </c>
      <c r="E4" s="1" t="str" cm="1">
        <f t="array" ref="E4">IFERROR(INDEX(enums[lib],MATCH(1,(enums[enum]=correspondance[[#This Row],[origin.enum]])*(enums[value]=correspondance[[#This Row],[origin.value]]),0),1),"")</f>
        <v>porte simple en bois porte avec 30-60% de vitrage simple</v>
      </c>
      <c r="F4" s="2" t="s">
        <v>928</v>
      </c>
      <c r="G4" s="1" t="s">
        <v>936</v>
      </c>
      <c r="H4" s="6" t="str">
        <f t="shared" si="0"/>
        <v>non_isole</v>
      </c>
    </row>
    <row r="5" spans="1:8" x14ac:dyDescent="0.3">
      <c r="A5" s="6" t="s">
        <v>919</v>
      </c>
      <c r="B5" s="11" t="s">
        <v>907</v>
      </c>
      <c r="C5" s="1">
        <v>4</v>
      </c>
      <c r="D5" s="1" t="str">
        <f>IFERROR(SUBSTITUTE(_xlfn.TEXTAFTER(correspondance[[#This Row],[origin.path]],"enum_"),"_id",""),"")</f>
        <v>type_porte</v>
      </c>
      <c r="E5" s="1" t="str" cm="1">
        <f t="array" ref="E5">IFERROR(INDEX(enums[lib],MATCH(1,(enums[enum]=correspondance[[#This Row],[origin.enum]])*(enums[value]=correspondance[[#This Row],[origin.value]]),0),1),"")</f>
        <v>porte simple en bois porte avec double vitrage</v>
      </c>
      <c r="F5" s="2" t="s">
        <v>928</v>
      </c>
      <c r="G5" s="1" t="s">
        <v>936</v>
      </c>
      <c r="H5" s="6" t="str">
        <f t="shared" si="0"/>
        <v>non_isole</v>
      </c>
    </row>
    <row r="6" spans="1:8" x14ac:dyDescent="0.3">
      <c r="A6" s="6" t="s">
        <v>919</v>
      </c>
      <c r="B6" s="11" t="s">
        <v>907</v>
      </c>
      <c r="C6" s="1">
        <v>5</v>
      </c>
      <c r="D6" s="1" t="str">
        <f>IFERROR(SUBSTITUTE(_xlfn.TEXTAFTER(correspondance[[#This Row],[origin.path]],"enum_"),"_id",""),"")</f>
        <v>type_porte</v>
      </c>
      <c r="E6" s="1" t="str" cm="1">
        <f t="array" ref="E6">IFERROR(INDEX(enums[lib],MATCH(1,(enums[enum]=correspondance[[#This Row],[origin.enum]])*(enums[value]=correspondance[[#This Row],[origin.value]]),0),1),"")</f>
        <v>porte simple en pvc porte opaque pleine</v>
      </c>
      <c r="F6" s="2" t="s">
        <v>928</v>
      </c>
      <c r="G6" s="1" t="s">
        <v>936</v>
      </c>
      <c r="H6" s="6" t="str">
        <f t="shared" si="0"/>
        <v>non_isole</v>
      </c>
    </row>
    <row r="7" spans="1:8" x14ac:dyDescent="0.3">
      <c r="A7" s="6" t="s">
        <v>919</v>
      </c>
      <c r="B7" s="11" t="s">
        <v>907</v>
      </c>
      <c r="C7" s="1">
        <v>6</v>
      </c>
      <c r="D7" s="1" t="str">
        <f>IFERROR(SUBSTITUTE(_xlfn.TEXTAFTER(correspondance[[#This Row],[origin.path]],"enum_"),"_id",""),"")</f>
        <v>type_porte</v>
      </c>
      <c r="E7" s="1" t="str" cm="1">
        <f t="array" ref="E7">IFERROR(INDEX(enums[lib],MATCH(1,(enums[enum]=correspondance[[#This Row],[origin.enum]])*(enums[value]=correspondance[[#This Row],[origin.value]]),0),1),"")</f>
        <v>porte simple en pvc porte avec moins de 30% de vitrage simple</v>
      </c>
      <c r="F7" s="2" t="s">
        <v>928</v>
      </c>
      <c r="G7" s="1" t="s">
        <v>936</v>
      </c>
      <c r="H7" s="6" t="str">
        <f t="shared" si="0"/>
        <v>non_isole</v>
      </c>
    </row>
    <row r="8" spans="1:8" x14ac:dyDescent="0.3">
      <c r="A8" s="6" t="s">
        <v>919</v>
      </c>
      <c r="B8" s="11" t="s">
        <v>907</v>
      </c>
      <c r="C8" s="1">
        <v>7</v>
      </c>
      <c r="D8" s="1" t="str">
        <f>IFERROR(SUBSTITUTE(_xlfn.TEXTAFTER(correspondance[[#This Row],[origin.path]],"enum_"),"_id",""),"")</f>
        <v>type_porte</v>
      </c>
      <c r="E8" s="1" t="str" cm="1">
        <f t="array" ref="E8">IFERROR(INDEX(enums[lib],MATCH(1,(enums[enum]=correspondance[[#This Row],[origin.enum]])*(enums[value]=correspondance[[#This Row],[origin.value]]),0),1),"")</f>
        <v>porte simple en pvc porte avec 30-60% de vitrage simple</v>
      </c>
      <c r="F8" s="2" t="s">
        <v>928</v>
      </c>
      <c r="G8" s="1" t="s">
        <v>936</v>
      </c>
      <c r="H8" s="6" t="str">
        <f t="shared" si="0"/>
        <v>non_isole</v>
      </c>
    </row>
    <row r="9" spans="1:8" x14ac:dyDescent="0.3">
      <c r="A9" s="6" t="s">
        <v>919</v>
      </c>
      <c r="B9" s="11" t="s">
        <v>907</v>
      </c>
      <c r="C9" s="1">
        <v>8</v>
      </c>
      <c r="D9" s="1" t="str">
        <f>IFERROR(SUBSTITUTE(_xlfn.TEXTAFTER(correspondance[[#This Row],[origin.path]],"enum_"),"_id",""),"")</f>
        <v>type_porte</v>
      </c>
      <c r="E9" s="1" t="str" cm="1">
        <f t="array" ref="E9">IFERROR(INDEX(enums[lib],MATCH(1,(enums[enum]=correspondance[[#This Row],[origin.enum]])*(enums[value]=correspondance[[#This Row],[origin.value]]),0),1),"")</f>
        <v>porte simple en pvc porte avec double vitrage</v>
      </c>
      <c r="F9" s="2" t="s">
        <v>928</v>
      </c>
      <c r="G9" s="1" t="s">
        <v>936</v>
      </c>
      <c r="H9" s="6" t="str">
        <f t="shared" si="0"/>
        <v>non_isole</v>
      </c>
    </row>
    <row r="10" spans="1:8" x14ac:dyDescent="0.3">
      <c r="A10" s="6" t="s">
        <v>919</v>
      </c>
      <c r="B10" s="11" t="s">
        <v>907</v>
      </c>
      <c r="C10" s="1">
        <v>9</v>
      </c>
      <c r="D10" s="1" t="str">
        <f>IFERROR(SUBSTITUTE(_xlfn.TEXTAFTER(correspondance[[#This Row],[origin.path]],"enum_"),"_id",""),"")</f>
        <v>type_porte</v>
      </c>
      <c r="E10" s="1" t="str" cm="1">
        <f t="array" ref="E10">IFERROR(INDEX(enums[lib],MATCH(1,(enums[enum]=correspondance[[#This Row],[origin.enum]])*(enums[value]=correspondance[[#This Row],[origin.value]]),0),1),"")</f>
        <v>porte simple en métal porte opaque pleine</v>
      </c>
      <c r="F10" s="2" t="s">
        <v>928</v>
      </c>
      <c r="G10" s="1" t="s">
        <v>936</v>
      </c>
      <c r="H10" s="6" t="str">
        <f t="shared" si="0"/>
        <v>non_isole</v>
      </c>
    </row>
    <row r="11" spans="1:8" x14ac:dyDescent="0.3">
      <c r="A11" s="6" t="s">
        <v>919</v>
      </c>
      <c r="B11" s="11" t="s">
        <v>907</v>
      </c>
      <c r="C11" s="1">
        <v>10</v>
      </c>
      <c r="D11" s="1" t="str">
        <f>IFERROR(SUBSTITUTE(_xlfn.TEXTAFTER(correspondance[[#This Row],[origin.path]],"enum_"),"_id",""),"")</f>
        <v>type_porte</v>
      </c>
      <c r="E11" s="1" t="str" cm="1">
        <f t="array" ref="E11">IFERROR(INDEX(enums[lib],MATCH(1,(enums[enum]=correspondance[[#This Row],[origin.enum]])*(enums[value]=correspondance[[#This Row],[origin.value]]),0),1),"")</f>
        <v>porte simple en métal porte avec vitrage simple</v>
      </c>
      <c r="F11" s="2" t="s">
        <v>928</v>
      </c>
      <c r="G11" s="1" t="s">
        <v>936</v>
      </c>
      <c r="H11" s="6" t="str">
        <f t="shared" si="0"/>
        <v>non_isole</v>
      </c>
    </row>
    <row r="12" spans="1:8" x14ac:dyDescent="0.3">
      <c r="A12" s="6" t="s">
        <v>919</v>
      </c>
      <c r="B12" s="11" t="s">
        <v>907</v>
      </c>
      <c r="C12" s="1">
        <v>11</v>
      </c>
      <c r="D12" s="1" t="str">
        <f>IFERROR(SUBSTITUTE(_xlfn.TEXTAFTER(correspondance[[#This Row],[origin.path]],"enum_"),"_id",""),"")</f>
        <v>type_porte</v>
      </c>
      <c r="E12" s="1" t="str" cm="1">
        <f t="array" ref="E12">IFERROR(INDEX(enums[lib],MATCH(1,(enums[enum]=correspondance[[#This Row],[origin.enum]])*(enums[value]=correspondance[[#This Row],[origin.value]]),0),1),"")</f>
        <v>porte simple en métal porte avec moins de 30% de double vitrage</v>
      </c>
      <c r="F12" s="2" t="s">
        <v>928</v>
      </c>
      <c r="G12" s="1" t="s">
        <v>936</v>
      </c>
      <c r="H12" s="6" t="str">
        <f t="shared" si="0"/>
        <v>non_isole</v>
      </c>
    </row>
    <row r="13" spans="1:8" x14ac:dyDescent="0.3">
      <c r="A13" s="6" t="s">
        <v>919</v>
      </c>
      <c r="B13" s="11" t="s">
        <v>907</v>
      </c>
      <c r="C13" s="1">
        <v>12</v>
      </c>
      <c r="D13" s="1" t="str">
        <f>IFERROR(SUBSTITUTE(_xlfn.TEXTAFTER(correspondance[[#This Row],[origin.path]],"enum_"),"_id",""),"")</f>
        <v>type_porte</v>
      </c>
      <c r="E13" s="1" t="str" cm="1">
        <f t="array" ref="E13">IFERROR(INDEX(enums[lib],MATCH(1,(enums[enum]=correspondance[[#This Row],[origin.enum]])*(enums[value]=correspondance[[#This Row],[origin.value]]),0),1),"")</f>
        <v>porte simple en métal porte avec 30-60% de double vitrage</v>
      </c>
      <c r="F13" s="2" t="s">
        <v>928</v>
      </c>
      <c r="G13" s="1" t="s">
        <v>936</v>
      </c>
      <c r="H13" s="6" t="str">
        <f t="shared" si="0"/>
        <v>non_isole</v>
      </c>
    </row>
    <row r="14" spans="1:8" x14ac:dyDescent="0.3">
      <c r="A14" s="6" t="s">
        <v>919</v>
      </c>
      <c r="B14" s="11" t="s">
        <v>907</v>
      </c>
      <c r="C14" s="1">
        <v>13</v>
      </c>
      <c r="D14" s="1" t="str">
        <f>IFERROR(SUBSTITUTE(_xlfn.TEXTAFTER(correspondance[[#This Row],[origin.path]],"enum_"),"_id",""),"")</f>
        <v>type_porte</v>
      </c>
      <c r="E14" s="1" t="str" cm="1">
        <f t="array" ref="E14">IFERROR(INDEX(enums[lib],MATCH(1,(enums[enum]=correspondance[[#This Row],[origin.enum]])*(enums[value]=correspondance[[#This Row],[origin.value]]),0),1),"")</f>
        <v>toute menuiserie porte opaque pleine isolée</v>
      </c>
      <c r="F14" s="2" t="s">
        <v>928</v>
      </c>
      <c r="G14" s="1" t="s">
        <v>937</v>
      </c>
      <c r="H14" s="6" t="str">
        <f t="shared" si="0"/>
        <v>isole</v>
      </c>
    </row>
    <row r="15" spans="1:8" x14ac:dyDescent="0.3">
      <c r="A15" s="6" t="s">
        <v>919</v>
      </c>
      <c r="B15" s="11" t="s">
        <v>907</v>
      </c>
      <c r="C15" s="1">
        <v>14</v>
      </c>
      <c r="D15" s="1" t="str">
        <f>IFERROR(SUBSTITUTE(_xlfn.TEXTAFTER(correspondance[[#This Row],[origin.path]],"enum_"),"_id",""),"")</f>
        <v>type_porte</v>
      </c>
      <c r="E15" s="1" t="str" cm="1">
        <f t="array" ref="E15">IFERROR(INDEX(enums[lib],MATCH(1,(enums[enum]=correspondance[[#This Row],[origin.enum]])*(enums[value]=correspondance[[#This Row],[origin.value]]),0),1),"")</f>
        <v>toute menuiserie porte précédée d’un sas</v>
      </c>
      <c r="F15" s="2" t="s">
        <v>928</v>
      </c>
      <c r="G15" s="1"/>
      <c r="H15" s="6" t="str">
        <f t="shared" si="0"/>
        <v/>
      </c>
    </row>
    <row r="16" spans="1:8" x14ac:dyDescent="0.3">
      <c r="A16" s="6" t="s">
        <v>919</v>
      </c>
      <c r="B16" s="11" t="s">
        <v>907</v>
      </c>
      <c r="C16" s="1">
        <v>15</v>
      </c>
      <c r="D16" s="1" t="str">
        <f>IFERROR(SUBSTITUTE(_xlfn.TEXTAFTER(correspondance[[#This Row],[origin.path]],"enum_"),"_id",""),"")</f>
        <v>type_porte</v>
      </c>
      <c r="E16" s="1" t="str" cm="1">
        <f t="array" ref="E16">IFERROR(INDEX(enums[lib],MATCH(1,(enums[enum]=correspondance[[#This Row],[origin.enum]])*(enums[value]=correspondance[[#This Row],[origin.value]]),0),1),"")</f>
        <v>toute menuiserie porte isolée avec double vitrage</v>
      </c>
      <c r="F16" s="2" t="s">
        <v>928</v>
      </c>
      <c r="G16" s="1" t="s">
        <v>937</v>
      </c>
      <c r="H16" s="6" t="str">
        <f t="shared" si="0"/>
        <v>isole</v>
      </c>
    </row>
    <row r="17" spans="1:8" x14ac:dyDescent="0.3">
      <c r="A17" s="6" t="s">
        <v>919</v>
      </c>
      <c r="B17" s="11" t="s">
        <v>907</v>
      </c>
      <c r="C17" s="1">
        <v>16</v>
      </c>
      <c r="D17" s="1" t="str">
        <f>IFERROR(SUBSTITUTE(_xlfn.TEXTAFTER(correspondance[[#This Row],[origin.path]],"enum_"),"_id",""),"")</f>
        <v>type_porte</v>
      </c>
      <c r="E17" s="1" t="str" cm="1">
        <f t="array" ref="E17">IFERROR(INDEX(enums[lib],MATCH(1,(enums[enum]=correspondance[[#This Row],[origin.enum]])*(enums[value]=correspondance[[#This Row],[origin.value]]),0),1),"")</f>
        <v>autre type de porte</v>
      </c>
      <c r="F17" s="2" t="s">
        <v>928</v>
      </c>
      <c r="G17" s="1" t="s">
        <v>938</v>
      </c>
      <c r="H17" s="6" t="str">
        <f t="shared" si="0"/>
        <v/>
      </c>
    </row>
    <row r="18" spans="1:8" x14ac:dyDescent="0.3">
      <c r="A18" s="6" t="s">
        <v>919</v>
      </c>
      <c r="B18" s="11" t="s">
        <v>907</v>
      </c>
      <c r="C18" s="1">
        <v>1</v>
      </c>
      <c r="D18" s="1" t="str">
        <f>IFERROR(SUBSTITUTE(_xlfn.TEXTAFTER(correspondance[[#This Row],[origin.path]],"enum_"),"_id",""),"")</f>
        <v>type_porte</v>
      </c>
      <c r="E18" s="1" t="str" cm="1">
        <f t="array" ref="E18">IFERROR(INDEX(enums[lib],MATCH(1,(enums[enum]=correspondance[[#This Row],[origin.enum]])*(enums[value]=correspondance[[#This Row],[origin.value]]),0),1),"")</f>
        <v>porte simple en bois porte opaque pleine</v>
      </c>
      <c r="F18" s="2" t="s">
        <v>929</v>
      </c>
      <c r="G18" s="1" t="s">
        <v>317</v>
      </c>
      <c r="H18" s="6" t="str">
        <f t="shared" si="0"/>
        <v>bois</v>
      </c>
    </row>
    <row r="19" spans="1:8" x14ac:dyDescent="0.3">
      <c r="A19" s="6" t="s">
        <v>919</v>
      </c>
      <c r="B19" s="11" t="s">
        <v>907</v>
      </c>
      <c r="C19" s="1">
        <v>2</v>
      </c>
      <c r="D19" s="1" t="str">
        <f>IFERROR(SUBSTITUTE(_xlfn.TEXTAFTER(correspondance[[#This Row],[origin.path]],"enum_"),"_id",""),"")</f>
        <v>type_porte</v>
      </c>
      <c r="E19" s="1" t="str" cm="1">
        <f t="array" ref="E19">IFERROR(INDEX(enums[lib],MATCH(1,(enums[enum]=correspondance[[#This Row],[origin.enum]])*(enums[value]=correspondance[[#This Row],[origin.value]]),0),1),"")</f>
        <v>porte simple en bois porte avec moins de 30% de vitrage simple</v>
      </c>
      <c r="F19" s="2" t="s">
        <v>929</v>
      </c>
      <c r="G19" s="1" t="s">
        <v>317</v>
      </c>
      <c r="H19" s="6" t="str">
        <f t="shared" si="0"/>
        <v>bois</v>
      </c>
    </row>
    <row r="20" spans="1:8" x14ac:dyDescent="0.3">
      <c r="A20" s="6" t="s">
        <v>919</v>
      </c>
      <c r="B20" s="11" t="s">
        <v>907</v>
      </c>
      <c r="C20" s="1">
        <v>3</v>
      </c>
      <c r="D20" s="1" t="str">
        <f>IFERROR(SUBSTITUTE(_xlfn.TEXTAFTER(correspondance[[#This Row],[origin.path]],"enum_"),"_id",""),"")</f>
        <v>type_porte</v>
      </c>
      <c r="E20" s="1" t="str" cm="1">
        <f t="array" ref="E20">IFERROR(INDEX(enums[lib],MATCH(1,(enums[enum]=correspondance[[#This Row],[origin.enum]])*(enums[value]=correspondance[[#This Row],[origin.value]]),0),1),"")</f>
        <v>porte simple en bois porte avec 30-60% de vitrage simple</v>
      </c>
      <c r="F20" s="2" t="s">
        <v>929</v>
      </c>
      <c r="G20" s="1" t="s">
        <v>317</v>
      </c>
      <c r="H20" s="6" t="str">
        <f t="shared" si="0"/>
        <v>bois</v>
      </c>
    </row>
    <row r="21" spans="1:8" x14ac:dyDescent="0.3">
      <c r="A21" s="6" t="s">
        <v>919</v>
      </c>
      <c r="B21" s="11" t="s">
        <v>907</v>
      </c>
      <c r="C21" s="1">
        <v>4</v>
      </c>
      <c r="D21" s="1" t="str">
        <f>IFERROR(SUBSTITUTE(_xlfn.TEXTAFTER(correspondance[[#This Row],[origin.path]],"enum_"),"_id",""),"")</f>
        <v>type_porte</v>
      </c>
      <c r="E21" s="1" t="str" cm="1">
        <f t="array" ref="E21">IFERROR(INDEX(enums[lib],MATCH(1,(enums[enum]=correspondance[[#This Row],[origin.enum]])*(enums[value]=correspondance[[#This Row],[origin.value]]),0),1),"")</f>
        <v>porte simple en bois porte avec double vitrage</v>
      </c>
      <c r="F21" s="2" t="s">
        <v>929</v>
      </c>
      <c r="G21" s="1" t="s">
        <v>317</v>
      </c>
      <c r="H21" s="6" t="str">
        <f t="shared" si="0"/>
        <v>bois</v>
      </c>
    </row>
    <row r="22" spans="1:8" x14ac:dyDescent="0.3">
      <c r="A22" s="6" t="s">
        <v>919</v>
      </c>
      <c r="B22" s="11" t="s">
        <v>907</v>
      </c>
      <c r="C22" s="1">
        <v>5</v>
      </c>
      <c r="D22" s="1" t="str">
        <f>IFERROR(SUBSTITUTE(_xlfn.TEXTAFTER(correspondance[[#This Row],[origin.path]],"enum_"),"_id",""),"")</f>
        <v>type_porte</v>
      </c>
      <c r="E22" s="1" t="str" cm="1">
        <f t="array" ref="E22">IFERROR(INDEX(enums[lib],MATCH(1,(enums[enum]=correspondance[[#This Row],[origin.enum]])*(enums[value]=correspondance[[#This Row],[origin.value]]),0),1),"")</f>
        <v>porte simple en pvc porte opaque pleine</v>
      </c>
      <c r="F22" s="2" t="s">
        <v>929</v>
      </c>
      <c r="G22" s="1" t="s">
        <v>319</v>
      </c>
      <c r="H22" s="6" t="str">
        <f t="shared" si="0"/>
        <v>pvc</v>
      </c>
    </row>
    <row r="23" spans="1:8" x14ac:dyDescent="0.3">
      <c r="A23" s="6" t="s">
        <v>919</v>
      </c>
      <c r="B23" s="11" t="s">
        <v>907</v>
      </c>
      <c r="C23" s="1">
        <v>6</v>
      </c>
      <c r="D23" s="1" t="str">
        <f>IFERROR(SUBSTITUTE(_xlfn.TEXTAFTER(correspondance[[#This Row],[origin.path]],"enum_"),"_id",""),"")</f>
        <v>type_porte</v>
      </c>
      <c r="E23" s="1" t="str" cm="1">
        <f t="array" ref="E23">IFERROR(INDEX(enums[lib],MATCH(1,(enums[enum]=correspondance[[#This Row],[origin.enum]])*(enums[value]=correspondance[[#This Row],[origin.value]]),0),1),"")</f>
        <v>porte simple en pvc porte avec moins de 30% de vitrage simple</v>
      </c>
      <c r="F23" s="2" t="s">
        <v>929</v>
      </c>
      <c r="G23" s="1" t="s">
        <v>319</v>
      </c>
      <c r="H23" s="6" t="str">
        <f t="shared" si="0"/>
        <v>pvc</v>
      </c>
    </row>
    <row r="24" spans="1:8" x14ac:dyDescent="0.3">
      <c r="A24" s="6" t="s">
        <v>919</v>
      </c>
      <c r="B24" s="11" t="s">
        <v>907</v>
      </c>
      <c r="C24" s="1">
        <v>7</v>
      </c>
      <c r="D24" s="1" t="str">
        <f>IFERROR(SUBSTITUTE(_xlfn.TEXTAFTER(correspondance[[#This Row],[origin.path]],"enum_"),"_id",""),"")</f>
        <v>type_porte</v>
      </c>
      <c r="E24" s="1" t="str" cm="1">
        <f t="array" ref="E24">IFERROR(INDEX(enums[lib],MATCH(1,(enums[enum]=correspondance[[#This Row],[origin.enum]])*(enums[value]=correspondance[[#This Row],[origin.value]]),0),1),"")</f>
        <v>porte simple en pvc porte avec 30-60% de vitrage simple</v>
      </c>
      <c r="F24" s="2" t="s">
        <v>929</v>
      </c>
      <c r="G24" s="1" t="s">
        <v>319</v>
      </c>
      <c r="H24" s="6" t="str">
        <f t="shared" si="0"/>
        <v>pvc</v>
      </c>
    </row>
    <row r="25" spans="1:8" x14ac:dyDescent="0.3">
      <c r="A25" s="6" t="s">
        <v>919</v>
      </c>
      <c r="B25" s="11" t="s">
        <v>907</v>
      </c>
      <c r="C25" s="1">
        <v>8</v>
      </c>
      <c r="D25" s="1" t="str">
        <f>IFERROR(SUBSTITUTE(_xlfn.TEXTAFTER(correspondance[[#This Row],[origin.path]],"enum_"),"_id",""),"")</f>
        <v>type_porte</v>
      </c>
      <c r="E25" s="1" t="str" cm="1">
        <f t="array" ref="E25">IFERROR(INDEX(enums[lib],MATCH(1,(enums[enum]=correspondance[[#This Row],[origin.enum]])*(enums[value]=correspondance[[#This Row],[origin.value]]),0),1),"")</f>
        <v>porte simple en pvc porte avec double vitrage</v>
      </c>
      <c r="F25" s="2" t="s">
        <v>929</v>
      </c>
      <c r="G25" s="1" t="s">
        <v>319</v>
      </c>
      <c r="H25" s="6" t="str">
        <f t="shared" si="0"/>
        <v>pvc</v>
      </c>
    </row>
    <row r="26" spans="1:8" x14ac:dyDescent="0.3">
      <c r="A26" s="6" t="s">
        <v>919</v>
      </c>
      <c r="B26" s="11" t="s">
        <v>907</v>
      </c>
      <c r="C26" s="1">
        <v>9</v>
      </c>
      <c r="D26" s="1" t="str">
        <f>IFERROR(SUBSTITUTE(_xlfn.TEXTAFTER(correspondance[[#This Row],[origin.path]],"enum_"),"_id",""),"")</f>
        <v>type_porte</v>
      </c>
      <c r="E26" s="1" t="str" cm="1">
        <f t="array" ref="E26">IFERROR(INDEX(enums[lib],MATCH(1,(enums[enum]=correspondance[[#This Row],[origin.enum]])*(enums[value]=correspondance[[#This Row],[origin.value]]),0),1),"")</f>
        <v>porte simple en métal porte opaque pleine</v>
      </c>
      <c r="F26" s="2" t="s">
        <v>929</v>
      </c>
      <c r="G26" s="1" t="s">
        <v>939</v>
      </c>
      <c r="H26" s="6" t="str">
        <f t="shared" si="0"/>
        <v>metal</v>
      </c>
    </row>
    <row r="27" spans="1:8" x14ac:dyDescent="0.3">
      <c r="A27" s="6" t="s">
        <v>919</v>
      </c>
      <c r="B27" s="11" t="s">
        <v>907</v>
      </c>
      <c r="C27" s="1">
        <v>10</v>
      </c>
      <c r="D27" s="1" t="str">
        <f>IFERROR(SUBSTITUTE(_xlfn.TEXTAFTER(correspondance[[#This Row],[origin.path]],"enum_"),"_id",""),"")</f>
        <v>type_porte</v>
      </c>
      <c r="E27" s="1" t="str" cm="1">
        <f t="array" ref="E27">IFERROR(INDEX(enums[lib],MATCH(1,(enums[enum]=correspondance[[#This Row],[origin.enum]])*(enums[value]=correspondance[[#This Row],[origin.value]]),0),1),"")</f>
        <v>porte simple en métal porte avec vitrage simple</v>
      </c>
      <c r="F27" s="2" t="s">
        <v>929</v>
      </c>
      <c r="G27" s="1" t="s">
        <v>939</v>
      </c>
      <c r="H27" s="6" t="str">
        <f t="shared" si="0"/>
        <v>metal</v>
      </c>
    </row>
    <row r="28" spans="1:8" x14ac:dyDescent="0.3">
      <c r="A28" s="6" t="s">
        <v>919</v>
      </c>
      <c r="B28" s="11" t="s">
        <v>907</v>
      </c>
      <c r="C28" s="1">
        <v>11</v>
      </c>
      <c r="D28" s="1" t="str">
        <f>IFERROR(SUBSTITUTE(_xlfn.TEXTAFTER(correspondance[[#This Row],[origin.path]],"enum_"),"_id",""),"")</f>
        <v>type_porte</v>
      </c>
      <c r="E28" s="1" t="str" cm="1">
        <f t="array" ref="E28">IFERROR(INDEX(enums[lib],MATCH(1,(enums[enum]=correspondance[[#This Row],[origin.enum]])*(enums[value]=correspondance[[#This Row],[origin.value]]),0),1),"")</f>
        <v>porte simple en métal porte avec moins de 30% de double vitrage</v>
      </c>
      <c r="F28" s="2" t="s">
        <v>929</v>
      </c>
      <c r="G28" s="1" t="s">
        <v>939</v>
      </c>
      <c r="H28" s="6" t="str">
        <f t="shared" si="0"/>
        <v>metal</v>
      </c>
    </row>
    <row r="29" spans="1:8" x14ac:dyDescent="0.3">
      <c r="A29" s="6" t="s">
        <v>919</v>
      </c>
      <c r="B29" s="11" t="s">
        <v>907</v>
      </c>
      <c r="C29" s="1">
        <v>12</v>
      </c>
      <c r="D29" s="1" t="str">
        <f>IFERROR(SUBSTITUTE(_xlfn.TEXTAFTER(correspondance[[#This Row],[origin.path]],"enum_"),"_id",""),"")</f>
        <v>type_porte</v>
      </c>
      <c r="E29" s="1" t="str" cm="1">
        <f t="array" ref="E29">IFERROR(INDEX(enums[lib],MATCH(1,(enums[enum]=correspondance[[#This Row],[origin.enum]])*(enums[value]=correspondance[[#This Row],[origin.value]]),0),1),"")</f>
        <v>porte simple en métal porte avec 30-60% de double vitrage</v>
      </c>
      <c r="F29" s="2" t="s">
        <v>929</v>
      </c>
      <c r="G29" s="1" t="s">
        <v>939</v>
      </c>
      <c r="H29" s="6" t="str">
        <f t="shared" si="0"/>
        <v>metal</v>
      </c>
    </row>
    <row r="30" spans="1:8" x14ac:dyDescent="0.3">
      <c r="A30" s="6" t="s">
        <v>919</v>
      </c>
      <c r="B30" s="11" t="s">
        <v>907</v>
      </c>
      <c r="C30" s="1">
        <v>13</v>
      </c>
      <c r="D30" s="1" t="str">
        <f>IFERROR(SUBSTITUTE(_xlfn.TEXTAFTER(correspondance[[#This Row],[origin.path]],"enum_"),"_id",""),"")</f>
        <v>type_porte</v>
      </c>
      <c r="E30" s="1" t="str" cm="1">
        <f t="array" ref="E30">IFERROR(INDEX(enums[lib],MATCH(1,(enums[enum]=correspondance[[#This Row],[origin.enum]])*(enums[value]=correspondance[[#This Row],[origin.value]]),0),1),"")</f>
        <v>toute menuiserie porte opaque pleine isolée</v>
      </c>
      <c r="F30" s="2" t="s">
        <v>929</v>
      </c>
      <c r="G30" s="1"/>
      <c r="H30" s="6" t="str">
        <f t="shared" si="0"/>
        <v/>
      </c>
    </row>
    <row r="31" spans="1:8" x14ac:dyDescent="0.3">
      <c r="A31" s="6" t="s">
        <v>919</v>
      </c>
      <c r="B31" s="11" t="s">
        <v>907</v>
      </c>
      <c r="C31" s="1">
        <v>14</v>
      </c>
      <c r="D31" s="1" t="str">
        <f>IFERROR(SUBSTITUTE(_xlfn.TEXTAFTER(correspondance[[#This Row],[origin.path]],"enum_"),"_id",""),"")</f>
        <v>type_porte</v>
      </c>
      <c r="E31" s="1" t="str" cm="1">
        <f t="array" ref="E31">IFERROR(INDEX(enums[lib],MATCH(1,(enums[enum]=correspondance[[#This Row],[origin.enum]])*(enums[value]=correspondance[[#This Row],[origin.value]]),0),1),"")</f>
        <v>toute menuiserie porte précédée d’un sas</v>
      </c>
      <c r="F31" s="2" t="s">
        <v>929</v>
      </c>
      <c r="G31" s="1"/>
      <c r="H31" s="6" t="str">
        <f t="shared" si="0"/>
        <v/>
      </c>
    </row>
    <row r="32" spans="1:8" x14ac:dyDescent="0.3">
      <c r="A32" s="6" t="s">
        <v>919</v>
      </c>
      <c r="B32" s="11" t="s">
        <v>907</v>
      </c>
      <c r="C32" s="1">
        <v>15</v>
      </c>
      <c r="D32" s="1" t="str">
        <f>IFERROR(SUBSTITUTE(_xlfn.TEXTAFTER(correspondance[[#This Row],[origin.path]],"enum_"),"_id",""),"")</f>
        <v>type_porte</v>
      </c>
      <c r="E32" s="1" t="str" cm="1">
        <f t="array" ref="E32">IFERROR(INDEX(enums[lib],MATCH(1,(enums[enum]=correspondance[[#This Row],[origin.enum]])*(enums[value]=correspondance[[#This Row],[origin.value]]),0),1),"")</f>
        <v>toute menuiserie porte isolée avec double vitrage</v>
      </c>
      <c r="F32" s="2" t="s">
        <v>929</v>
      </c>
      <c r="G32" s="1"/>
      <c r="H32" s="6" t="str">
        <f t="shared" si="0"/>
        <v/>
      </c>
    </row>
    <row r="33" spans="1:8" x14ac:dyDescent="0.3">
      <c r="A33" s="6" t="s">
        <v>919</v>
      </c>
      <c r="B33" s="11" t="s">
        <v>907</v>
      </c>
      <c r="C33" s="1">
        <v>16</v>
      </c>
      <c r="D33" s="1" t="str">
        <f>IFERROR(SUBSTITUTE(_xlfn.TEXTAFTER(correspondance[[#This Row],[origin.path]],"enum_"),"_id",""),"")</f>
        <v>type_porte</v>
      </c>
      <c r="E33" s="1" t="str" cm="1">
        <f t="array" ref="E33">IFERROR(INDEX(enums[lib],MATCH(1,(enums[enum]=correspondance[[#This Row],[origin.enum]])*(enums[value]=correspondance[[#This Row],[origin.value]]),0),1),"")</f>
        <v>autre type de porte</v>
      </c>
      <c r="F33" s="2" t="s">
        <v>929</v>
      </c>
      <c r="G33" s="1" t="s">
        <v>938</v>
      </c>
      <c r="H33" s="6" t="str">
        <f t="shared" si="0"/>
        <v/>
      </c>
    </row>
    <row r="34" spans="1:8" x14ac:dyDescent="0.3">
      <c r="A34" s="6" t="s">
        <v>919</v>
      </c>
      <c r="B34" s="2" t="s">
        <v>904</v>
      </c>
      <c r="C34" s="1">
        <v>1</v>
      </c>
      <c r="D34" s="1" t="str">
        <f>IFERROR(SUBSTITUTE(_xlfn.TEXTAFTER(correspondance[[#This Row],[origin.path]],"enum_"),"_id",""),"")</f>
        <v>type_pose</v>
      </c>
      <c r="E34" s="1" t="str" cm="1">
        <f t="array" ref="E34">IFERROR(INDEX(enums[lib],MATCH(1,(enums[enum]=correspondance[[#This Row],[origin.enum]])*(enums[value]=correspondance[[#This Row],[origin.value]]),0),1),"")</f>
        <v>nu extérieur</v>
      </c>
      <c r="F34" s="2" t="s">
        <v>912</v>
      </c>
      <c r="G34" s="1" t="s">
        <v>940</v>
      </c>
      <c r="H34" s="6" t="str">
        <f t="shared" si="0"/>
        <v>nu_exterieur</v>
      </c>
    </row>
    <row r="35" spans="1:8" x14ac:dyDescent="0.3">
      <c r="A35" s="6" t="s">
        <v>919</v>
      </c>
      <c r="B35" s="2" t="s">
        <v>904</v>
      </c>
      <c r="C35" s="1">
        <v>2</v>
      </c>
      <c r="D35" s="1" t="str">
        <f>IFERROR(SUBSTITUTE(_xlfn.TEXTAFTER(correspondance[[#This Row],[origin.path]],"enum_"),"_id",""),"")</f>
        <v>type_pose</v>
      </c>
      <c r="E35" s="1" t="str" cm="1">
        <f t="array" ref="E35">IFERROR(INDEX(enums[lib],MATCH(1,(enums[enum]=correspondance[[#This Row],[origin.enum]])*(enums[value]=correspondance[[#This Row],[origin.value]]),0),1),"")</f>
        <v>nu intérieur</v>
      </c>
      <c r="F35" s="2" t="s">
        <v>912</v>
      </c>
      <c r="G35" s="1" t="s">
        <v>941</v>
      </c>
      <c r="H35" s="6" t="str">
        <f t="shared" si="0"/>
        <v>nu_interieur</v>
      </c>
    </row>
    <row r="36" spans="1:8" x14ac:dyDescent="0.3">
      <c r="A36" s="6" t="s">
        <v>919</v>
      </c>
      <c r="B36" s="2" t="s">
        <v>904</v>
      </c>
      <c r="C36" s="1">
        <v>3</v>
      </c>
      <c r="D36" s="1" t="str">
        <f>IFERROR(SUBSTITUTE(_xlfn.TEXTAFTER(correspondance[[#This Row],[origin.path]],"enum_"),"_id",""),"")</f>
        <v>type_pose</v>
      </c>
      <c r="E36" s="1" t="str" cm="1">
        <f t="array" ref="E36">IFERROR(INDEX(enums[lib],MATCH(1,(enums[enum]=correspondance[[#This Row],[origin.enum]])*(enums[value]=correspondance[[#This Row],[origin.value]]),0),1),"")</f>
        <v>tunnel</v>
      </c>
      <c r="F36" s="2" t="s">
        <v>912</v>
      </c>
      <c r="G36" s="1" t="s">
        <v>334</v>
      </c>
      <c r="H36" s="6" t="str">
        <f t="shared" si="0"/>
        <v>tunnel</v>
      </c>
    </row>
    <row r="37" spans="1:8" x14ac:dyDescent="0.3">
      <c r="A37" s="6" t="s">
        <v>919</v>
      </c>
      <c r="B37" s="2" t="s">
        <v>904</v>
      </c>
      <c r="C37" s="1">
        <v>4</v>
      </c>
      <c r="D37" s="1" t="str">
        <f>IFERROR(SUBSTITUTE(_xlfn.TEXTAFTER(correspondance[[#This Row],[origin.path]],"enum_"),"_id",""),"")</f>
        <v>type_pose</v>
      </c>
      <c r="E37" s="1" t="str" cm="1">
        <f t="array" ref="E37">IFERROR(INDEX(enums[lib],MATCH(1,(enums[enum]=correspondance[[#This Row],[origin.enum]])*(enums[value]=correspondance[[#This Row],[origin.value]]),0),1),"")</f>
        <v>sans objet (brique de verre/polycarbonate)</v>
      </c>
      <c r="F37" s="2" t="s">
        <v>912</v>
      </c>
      <c r="G37" s="1" t="s">
        <v>938</v>
      </c>
      <c r="H37" s="6" t="str">
        <f t="shared" si="0"/>
        <v/>
      </c>
    </row>
    <row r="38" spans="1:8" x14ac:dyDescent="0.3">
      <c r="A38" s="6" t="s">
        <v>919</v>
      </c>
      <c r="B38" s="11" t="s">
        <v>907</v>
      </c>
      <c r="C38" s="1">
        <v>1</v>
      </c>
      <c r="D38" s="1" t="str">
        <f>IFERROR(SUBSTITUTE(_xlfn.TEXTAFTER(correspondance[[#This Row],[origin.path]],"enum_"),"_id",""),"")</f>
        <v>type_porte</v>
      </c>
      <c r="E38" s="1" t="str" cm="1">
        <f t="array" ref="E38">IFERROR(INDEX(enums[lib],MATCH(1,(enums[enum]=correspondance[[#This Row],[origin.enum]])*(enums[value]=correspondance[[#This Row],[origin.value]]),0),1),"")</f>
        <v>porte simple en bois porte opaque pleine</v>
      </c>
      <c r="F38" s="2" t="s">
        <v>921</v>
      </c>
      <c r="G38" s="1" t="s">
        <v>938</v>
      </c>
      <c r="H38" s="6" t="str">
        <f t="shared" si="0"/>
        <v/>
      </c>
    </row>
    <row r="39" spans="1:8" x14ac:dyDescent="0.3">
      <c r="A39" s="6" t="s">
        <v>919</v>
      </c>
      <c r="B39" s="11" t="s">
        <v>907</v>
      </c>
      <c r="C39" s="1">
        <v>2</v>
      </c>
      <c r="D39" s="1" t="str">
        <f>IFERROR(SUBSTITUTE(_xlfn.TEXTAFTER(correspondance[[#This Row],[origin.path]],"enum_"),"_id",""),"")</f>
        <v>type_porte</v>
      </c>
      <c r="E39" s="1" t="str" cm="1">
        <f t="array" ref="E39">IFERROR(INDEX(enums[lib],MATCH(1,(enums[enum]=correspondance[[#This Row],[origin.enum]])*(enums[value]=correspondance[[#This Row],[origin.value]]),0),1),"")</f>
        <v>porte simple en bois porte avec moins de 30% de vitrage simple</v>
      </c>
      <c r="F39" s="2" t="s">
        <v>921</v>
      </c>
      <c r="G39" s="1" t="s">
        <v>942</v>
      </c>
      <c r="H39" s="6" t="str">
        <f t="shared" si="0"/>
        <v>simple_vitrage</v>
      </c>
    </row>
    <row r="40" spans="1:8" x14ac:dyDescent="0.3">
      <c r="A40" s="6" t="s">
        <v>919</v>
      </c>
      <c r="B40" s="11" t="s">
        <v>907</v>
      </c>
      <c r="C40" s="1">
        <v>3</v>
      </c>
      <c r="D40" s="1" t="str">
        <f>IFERROR(SUBSTITUTE(_xlfn.TEXTAFTER(correspondance[[#This Row],[origin.path]],"enum_"),"_id",""),"")</f>
        <v>type_porte</v>
      </c>
      <c r="E40" s="1" t="str" cm="1">
        <f t="array" ref="E40">IFERROR(INDEX(enums[lib],MATCH(1,(enums[enum]=correspondance[[#This Row],[origin.enum]])*(enums[value]=correspondance[[#This Row],[origin.value]]),0),1),"")</f>
        <v>porte simple en bois porte avec 30-60% de vitrage simple</v>
      </c>
      <c r="F40" s="2" t="s">
        <v>921</v>
      </c>
      <c r="G40" s="1" t="s">
        <v>942</v>
      </c>
      <c r="H40" s="6" t="str">
        <f t="shared" si="0"/>
        <v>simple_vitrage</v>
      </c>
    </row>
    <row r="41" spans="1:8" x14ac:dyDescent="0.3">
      <c r="A41" s="6" t="s">
        <v>919</v>
      </c>
      <c r="B41" s="11" t="s">
        <v>907</v>
      </c>
      <c r="C41" s="1">
        <v>4</v>
      </c>
      <c r="D41" s="1" t="str">
        <f>IFERROR(SUBSTITUTE(_xlfn.TEXTAFTER(correspondance[[#This Row],[origin.path]],"enum_"),"_id",""),"")</f>
        <v>type_porte</v>
      </c>
      <c r="E41" s="1" t="str" cm="1">
        <f t="array" ref="E41">IFERROR(INDEX(enums[lib],MATCH(1,(enums[enum]=correspondance[[#This Row],[origin.enum]])*(enums[value]=correspondance[[#This Row],[origin.value]]),0),1),"")</f>
        <v>porte simple en bois porte avec double vitrage</v>
      </c>
      <c r="F41" s="2" t="s">
        <v>921</v>
      </c>
      <c r="G41" s="1" t="s">
        <v>943</v>
      </c>
      <c r="H41" s="6" t="str">
        <f t="shared" si="0"/>
        <v>double_vitrage</v>
      </c>
    </row>
    <row r="42" spans="1:8" x14ac:dyDescent="0.3">
      <c r="A42" s="6" t="s">
        <v>919</v>
      </c>
      <c r="B42" s="11" t="s">
        <v>907</v>
      </c>
      <c r="C42" s="1">
        <v>5</v>
      </c>
      <c r="D42" s="1" t="str">
        <f>IFERROR(SUBSTITUTE(_xlfn.TEXTAFTER(correspondance[[#This Row],[origin.path]],"enum_"),"_id",""),"")</f>
        <v>type_porte</v>
      </c>
      <c r="E42" s="1" t="str" cm="1">
        <f t="array" ref="E42">IFERROR(INDEX(enums[lib],MATCH(1,(enums[enum]=correspondance[[#This Row],[origin.enum]])*(enums[value]=correspondance[[#This Row],[origin.value]]),0),1),"")</f>
        <v>porte simple en pvc porte opaque pleine</v>
      </c>
      <c r="F42" s="2" t="s">
        <v>921</v>
      </c>
      <c r="G42" s="1" t="s">
        <v>938</v>
      </c>
      <c r="H42" s="6" t="str">
        <f t="shared" si="0"/>
        <v/>
      </c>
    </row>
    <row r="43" spans="1:8" x14ac:dyDescent="0.3">
      <c r="A43" s="6" t="s">
        <v>919</v>
      </c>
      <c r="B43" s="11" t="s">
        <v>907</v>
      </c>
      <c r="C43" s="1">
        <v>6</v>
      </c>
      <c r="D43" s="1" t="str">
        <f>IFERROR(SUBSTITUTE(_xlfn.TEXTAFTER(correspondance[[#This Row],[origin.path]],"enum_"),"_id",""),"")</f>
        <v>type_porte</v>
      </c>
      <c r="E43" s="1" t="str" cm="1">
        <f t="array" ref="E43">IFERROR(INDEX(enums[lib],MATCH(1,(enums[enum]=correspondance[[#This Row],[origin.enum]])*(enums[value]=correspondance[[#This Row],[origin.value]]),0),1),"")</f>
        <v>porte simple en pvc porte avec moins de 30% de vitrage simple</v>
      </c>
      <c r="F43" s="2" t="s">
        <v>921</v>
      </c>
      <c r="G43" s="1" t="s">
        <v>942</v>
      </c>
      <c r="H43" s="6" t="str">
        <f t="shared" si="0"/>
        <v>simple_vitrage</v>
      </c>
    </row>
    <row r="44" spans="1:8" x14ac:dyDescent="0.3">
      <c r="A44" s="6" t="s">
        <v>919</v>
      </c>
      <c r="B44" s="11" t="s">
        <v>907</v>
      </c>
      <c r="C44" s="1">
        <v>7</v>
      </c>
      <c r="D44" s="1" t="str">
        <f>IFERROR(SUBSTITUTE(_xlfn.TEXTAFTER(correspondance[[#This Row],[origin.path]],"enum_"),"_id",""),"")</f>
        <v>type_porte</v>
      </c>
      <c r="E44" s="1" t="str" cm="1">
        <f t="array" ref="E44">IFERROR(INDEX(enums[lib],MATCH(1,(enums[enum]=correspondance[[#This Row],[origin.enum]])*(enums[value]=correspondance[[#This Row],[origin.value]]),0),1),"")</f>
        <v>porte simple en pvc porte avec 30-60% de vitrage simple</v>
      </c>
      <c r="F44" s="2" t="s">
        <v>921</v>
      </c>
      <c r="G44" s="1" t="s">
        <v>942</v>
      </c>
      <c r="H44" s="6" t="str">
        <f t="shared" si="0"/>
        <v>simple_vitrage</v>
      </c>
    </row>
    <row r="45" spans="1:8" x14ac:dyDescent="0.3">
      <c r="A45" s="6" t="s">
        <v>919</v>
      </c>
      <c r="B45" s="11" t="s">
        <v>907</v>
      </c>
      <c r="C45" s="1">
        <v>8</v>
      </c>
      <c r="D45" s="1" t="str">
        <f>IFERROR(SUBSTITUTE(_xlfn.TEXTAFTER(correspondance[[#This Row],[origin.path]],"enum_"),"_id",""),"")</f>
        <v>type_porte</v>
      </c>
      <c r="E45" s="1" t="str" cm="1">
        <f t="array" ref="E45">IFERROR(INDEX(enums[lib],MATCH(1,(enums[enum]=correspondance[[#This Row],[origin.enum]])*(enums[value]=correspondance[[#This Row],[origin.value]]),0),1),"")</f>
        <v>porte simple en pvc porte avec double vitrage</v>
      </c>
      <c r="F45" s="2" t="s">
        <v>921</v>
      </c>
      <c r="G45" s="1" t="s">
        <v>943</v>
      </c>
      <c r="H45" s="6" t="str">
        <f t="shared" si="0"/>
        <v>double_vitrage</v>
      </c>
    </row>
    <row r="46" spans="1:8" x14ac:dyDescent="0.3">
      <c r="A46" s="6" t="s">
        <v>919</v>
      </c>
      <c r="B46" s="11" t="s">
        <v>907</v>
      </c>
      <c r="C46" s="1">
        <v>9</v>
      </c>
      <c r="D46" s="1" t="str">
        <f>IFERROR(SUBSTITUTE(_xlfn.TEXTAFTER(correspondance[[#This Row],[origin.path]],"enum_"),"_id",""),"")</f>
        <v>type_porte</v>
      </c>
      <c r="E46" s="1" t="str" cm="1">
        <f t="array" ref="E46">IFERROR(INDEX(enums[lib],MATCH(1,(enums[enum]=correspondance[[#This Row],[origin.enum]])*(enums[value]=correspondance[[#This Row],[origin.value]]),0),1),"")</f>
        <v>porte simple en métal porte opaque pleine</v>
      </c>
      <c r="F46" s="2" t="s">
        <v>921</v>
      </c>
      <c r="G46" s="1" t="s">
        <v>938</v>
      </c>
      <c r="H46" s="6" t="str">
        <f t="shared" si="0"/>
        <v/>
      </c>
    </row>
    <row r="47" spans="1:8" x14ac:dyDescent="0.3">
      <c r="A47" s="6" t="s">
        <v>919</v>
      </c>
      <c r="B47" s="11" t="s">
        <v>907</v>
      </c>
      <c r="C47" s="1">
        <v>10</v>
      </c>
      <c r="D47" s="1" t="str">
        <f>IFERROR(SUBSTITUTE(_xlfn.TEXTAFTER(correspondance[[#This Row],[origin.path]],"enum_"),"_id",""),"")</f>
        <v>type_porte</v>
      </c>
      <c r="E47" s="1" t="str" cm="1">
        <f t="array" ref="E47">IFERROR(INDEX(enums[lib],MATCH(1,(enums[enum]=correspondance[[#This Row],[origin.enum]])*(enums[value]=correspondance[[#This Row],[origin.value]]),0),1),"")</f>
        <v>porte simple en métal porte avec vitrage simple</v>
      </c>
      <c r="F47" s="2" t="s">
        <v>921</v>
      </c>
      <c r="G47" s="1" t="s">
        <v>942</v>
      </c>
      <c r="H47" s="6" t="str">
        <f t="shared" si="0"/>
        <v>simple_vitrage</v>
      </c>
    </row>
    <row r="48" spans="1:8" x14ac:dyDescent="0.3">
      <c r="A48" s="6" t="s">
        <v>919</v>
      </c>
      <c r="B48" s="11" t="s">
        <v>907</v>
      </c>
      <c r="C48" s="1">
        <v>11</v>
      </c>
      <c r="D48" s="1" t="str">
        <f>IFERROR(SUBSTITUTE(_xlfn.TEXTAFTER(correspondance[[#This Row],[origin.path]],"enum_"),"_id",""),"")</f>
        <v>type_porte</v>
      </c>
      <c r="E48" s="1" t="str" cm="1">
        <f t="array" ref="E48">IFERROR(INDEX(enums[lib],MATCH(1,(enums[enum]=correspondance[[#This Row],[origin.enum]])*(enums[value]=correspondance[[#This Row],[origin.value]]),0),1),"")</f>
        <v>porte simple en métal porte avec moins de 30% de double vitrage</v>
      </c>
      <c r="F48" s="2" t="s">
        <v>921</v>
      </c>
      <c r="G48" s="1" t="s">
        <v>942</v>
      </c>
      <c r="H48" s="6" t="str">
        <f t="shared" si="0"/>
        <v>simple_vitrage</v>
      </c>
    </row>
    <row r="49" spans="1:8" x14ac:dyDescent="0.3">
      <c r="A49" s="6" t="s">
        <v>919</v>
      </c>
      <c r="B49" s="11" t="s">
        <v>907</v>
      </c>
      <c r="C49" s="1">
        <v>12</v>
      </c>
      <c r="D49" s="1" t="str">
        <f>IFERROR(SUBSTITUTE(_xlfn.TEXTAFTER(correspondance[[#This Row],[origin.path]],"enum_"),"_id",""),"")</f>
        <v>type_porte</v>
      </c>
      <c r="E49" s="1" t="str" cm="1">
        <f t="array" ref="E49">IFERROR(INDEX(enums[lib],MATCH(1,(enums[enum]=correspondance[[#This Row],[origin.enum]])*(enums[value]=correspondance[[#This Row],[origin.value]]),0),1),"")</f>
        <v>porte simple en métal porte avec 30-60% de double vitrage</v>
      </c>
      <c r="F49" s="2" t="s">
        <v>921</v>
      </c>
      <c r="G49" s="1" t="s">
        <v>943</v>
      </c>
      <c r="H49" s="6" t="str">
        <f t="shared" si="0"/>
        <v>double_vitrage</v>
      </c>
    </row>
    <row r="50" spans="1:8" x14ac:dyDescent="0.3">
      <c r="A50" s="6" t="s">
        <v>919</v>
      </c>
      <c r="B50" s="11" t="s">
        <v>907</v>
      </c>
      <c r="C50" s="1">
        <v>13</v>
      </c>
      <c r="D50" s="1" t="str">
        <f>IFERROR(SUBSTITUTE(_xlfn.TEXTAFTER(correspondance[[#This Row],[origin.path]],"enum_"),"_id",""),"")</f>
        <v>type_porte</v>
      </c>
      <c r="E50" s="1" t="str" cm="1">
        <f t="array" ref="E50">IFERROR(INDEX(enums[lib],MATCH(1,(enums[enum]=correspondance[[#This Row],[origin.enum]])*(enums[value]=correspondance[[#This Row],[origin.value]]),0),1),"")</f>
        <v>toute menuiserie porte opaque pleine isolée</v>
      </c>
      <c r="F50" s="2" t="s">
        <v>921</v>
      </c>
      <c r="G50" s="1" t="s">
        <v>938</v>
      </c>
      <c r="H50" s="6" t="str">
        <f t="shared" si="0"/>
        <v/>
      </c>
    </row>
    <row r="51" spans="1:8" x14ac:dyDescent="0.3">
      <c r="A51" s="6" t="s">
        <v>919</v>
      </c>
      <c r="B51" s="11" t="s">
        <v>907</v>
      </c>
      <c r="C51" s="1">
        <v>14</v>
      </c>
      <c r="D51" s="1" t="str">
        <f>IFERROR(SUBSTITUTE(_xlfn.TEXTAFTER(correspondance[[#This Row],[origin.path]],"enum_"),"_id",""),"")</f>
        <v>type_porte</v>
      </c>
      <c r="E51" s="1" t="str" cm="1">
        <f t="array" ref="E51">IFERROR(INDEX(enums[lib],MATCH(1,(enums[enum]=correspondance[[#This Row],[origin.enum]])*(enums[value]=correspondance[[#This Row],[origin.value]]),0),1),"")</f>
        <v>toute menuiserie porte précédée d’un sas</v>
      </c>
      <c r="F51" s="2" t="s">
        <v>921</v>
      </c>
      <c r="G51" s="1" t="s">
        <v>938</v>
      </c>
      <c r="H51" s="6" t="str">
        <f t="shared" si="0"/>
        <v/>
      </c>
    </row>
    <row r="52" spans="1:8" x14ac:dyDescent="0.3">
      <c r="A52" s="6" t="s">
        <v>919</v>
      </c>
      <c r="B52" s="11" t="s">
        <v>907</v>
      </c>
      <c r="C52" s="1">
        <v>15</v>
      </c>
      <c r="D52" s="1" t="str">
        <f>IFERROR(SUBSTITUTE(_xlfn.TEXTAFTER(correspondance[[#This Row],[origin.path]],"enum_"),"_id",""),"")</f>
        <v>type_porte</v>
      </c>
      <c r="E52" s="1" t="str" cm="1">
        <f t="array" ref="E52">IFERROR(INDEX(enums[lib],MATCH(1,(enums[enum]=correspondance[[#This Row],[origin.enum]])*(enums[value]=correspondance[[#This Row],[origin.value]]),0),1),"")</f>
        <v>toute menuiserie porte isolée avec double vitrage</v>
      </c>
      <c r="F52" s="2" t="s">
        <v>921</v>
      </c>
      <c r="G52" s="1" t="s">
        <v>943</v>
      </c>
      <c r="H52" s="6" t="str">
        <f t="shared" si="0"/>
        <v>double_vitrage</v>
      </c>
    </row>
    <row r="53" spans="1:8" x14ac:dyDescent="0.3">
      <c r="A53" s="6" t="s">
        <v>919</v>
      </c>
      <c r="B53" s="11" t="s">
        <v>907</v>
      </c>
      <c r="C53" s="1">
        <v>16</v>
      </c>
      <c r="D53" s="1" t="str">
        <f>IFERROR(SUBSTITUTE(_xlfn.TEXTAFTER(correspondance[[#This Row],[origin.path]],"enum_"),"_id",""),"")</f>
        <v>type_porte</v>
      </c>
      <c r="E53" s="1" t="str" cm="1">
        <f t="array" ref="E53">IFERROR(INDEX(enums[lib],MATCH(1,(enums[enum]=correspondance[[#This Row],[origin.enum]])*(enums[value]=correspondance[[#This Row],[origin.value]]),0),1),"")</f>
        <v>autre type de porte</v>
      </c>
      <c r="F53" s="2" t="s">
        <v>921</v>
      </c>
      <c r="G53" s="1" t="s">
        <v>938</v>
      </c>
      <c r="H53" s="6" t="str">
        <f t="shared" si="0"/>
        <v/>
      </c>
    </row>
    <row r="54" spans="1:8" x14ac:dyDescent="0.3">
      <c r="A54" s="6" t="s">
        <v>919</v>
      </c>
      <c r="B54" s="11" t="s">
        <v>907</v>
      </c>
      <c r="C54" s="1">
        <v>1</v>
      </c>
      <c r="D54" s="1" t="str">
        <f>IFERROR(SUBSTITUTE(_xlfn.TEXTAFTER(correspondance[[#This Row],[origin.path]],"enum_"),"_id",""),"")</f>
        <v>type_porte</v>
      </c>
      <c r="E54" s="1" t="str" cm="1">
        <f t="array" ref="E54">IFERROR(INDEX(enums[lib],MATCH(1,(enums[enum]=correspondance[[#This Row],[origin.enum]])*(enums[value]=correspondance[[#This Row],[origin.value]]),0),1),"")</f>
        <v>porte simple en bois porte opaque pleine</v>
      </c>
      <c r="F54" s="2" t="s">
        <v>946</v>
      </c>
      <c r="G54" s="1">
        <v>0</v>
      </c>
      <c r="H54" s="6" t="str">
        <f t="shared" si="0"/>
        <v>0</v>
      </c>
    </row>
    <row r="55" spans="1:8" x14ac:dyDescent="0.3">
      <c r="A55" s="6" t="s">
        <v>919</v>
      </c>
      <c r="B55" s="11" t="s">
        <v>907</v>
      </c>
      <c r="C55" s="1">
        <v>2</v>
      </c>
      <c r="D55" s="1" t="str">
        <f>IFERROR(SUBSTITUTE(_xlfn.TEXTAFTER(correspondance[[#This Row],[origin.path]],"enum_"),"_id",""),"")</f>
        <v>type_porte</v>
      </c>
      <c r="E55" s="1" t="str" cm="1">
        <f t="array" ref="E55">IFERROR(INDEX(enums[lib],MATCH(1,(enums[enum]=correspondance[[#This Row],[origin.enum]])*(enums[value]=correspondance[[#This Row],[origin.value]]),0),1),"")</f>
        <v>porte simple en bois porte avec moins de 30% de vitrage simple</v>
      </c>
      <c r="F55" s="2" t="s">
        <v>946</v>
      </c>
      <c r="G55" s="1">
        <v>15</v>
      </c>
      <c r="H55" s="6" t="str">
        <f t="shared" si="0"/>
        <v>15</v>
      </c>
    </row>
    <row r="56" spans="1:8" x14ac:dyDescent="0.3">
      <c r="A56" s="6" t="s">
        <v>919</v>
      </c>
      <c r="B56" s="11" t="s">
        <v>907</v>
      </c>
      <c r="C56" s="1">
        <v>3</v>
      </c>
      <c r="D56" s="1" t="str">
        <f>IFERROR(SUBSTITUTE(_xlfn.TEXTAFTER(correspondance[[#This Row],[origin.path]],"enum_"),"_id",""),"")</f>
        <v>type_porte</v>
      </c>
      <c r="E56" s="1" t="str" cm="1">
        <f t="array" ref="E56">IFERROR(INDEX(enums[lib],MATCH(1,(enums[enum]=correspondance[[#This Row],[origin.enum]])*(enums[value]=correspondance[[#This Row],[origin.value]]),0),1),"")</f>
        <v>porte simple en bois porte avec 30-60% de vitrage simple</v>
      </c>
      <c r="F56" s="2" t="s">
        <v>946</v>
      </c>
      <c r="G56" s="1">
        <v>45</v>
      </c>
      <c r="H56" s="6" t="str">
        <f t="shared" si="0"/>
        <v>45</v>
      </c>
    </row>
    <row r="57" spans="1:8" x14ac:dyDescent="0.3">
      <c r="A57" s="6" t="s">
        <v>919</v>
      </c>
      <c r="B57" s="11" t="s">
        <v>907</v>
      </c>
      <c r="C57" s="1">
        <v>4</v>
      </c>
      <c r="D57" s="1" t="str">
        <f>IFERROR(SUBSTITUTE(_xlfn.TEXTAFTER(correspondance[[#This Row],[origin.path]],"enum_"),"_id",""),"")</f>
        <v>type_porte</v>
      </c>
      <c r="E57" s="1" t="str" cm="1">
        <f t="array" ref="E57">IFERROR(INDEX(enums[lib],MATCH(1,(enums[enum]=correspondance[[#This Row],[origin.enum]])*(enums[value]=correspondance[[#This Row],[origin.value]]),0),1),"")</f>
        <v>porte simple en bois porte avec double vitrage</v>
      </c>
      <c r="F57" s="2" t="s">
        <v>946</v>
      </c>
      <c r="G57" s="1">
        <v>30</v>
      </c>
      <c r="H57" s="6" t="str">
        <f t="shared" si="0"/>
        <v>30</v>
      </c>
    </row>
    <row r="58" spans="1:8" x14ac:dyDescent="0.3">
      <c r="A58" s="6" t="s">
        <v>919</v>
      </c>
      <c r="B58" s="11" t="s">
        <v>907</v>
      </c>
      <c r="C58" s="1">
        <v>5</v>
      </c>
      <c r="D58" s="1" t="str">
        <f>IFERROR(SUBSTITUTE(_xlfn.TEXTAFTER(correspondance[[#This Row],[origin.path]],"enum_"),"_id",""),"")</f>
        <v>type_porte</v>
      </c>
      <c r="E58" s="1" t="str" cm="1">
        <f t="array" ref="E58">IFERROR(INDEX(enums[lib],MATCH(1,(enums[enum]=correspondance[[#This Row],[origin.enum]])*(enums[value]=correspondance[[#This Row],[origin.value]]),0),1),"")</f>
        <v>porte simple en pvc porte opaque pleine</v>
      </c>
      <c r="F58" s="2" t="s">
        <v>946</v>
      </c>
      <c r="G58" s="1">
        <v>0</v>
      </c>
      <c r="H58" s="6" t="str">
        <f t="shared" si="0"/>
        <v>0</v>
      </c>
    </row>
    <row r="59" spans="1:8" x14ac:dyDescent="0.3">
      <c r="A59" s="6" t="s">
        <v>919</v>
      </c>
      <c r="B59" s="11" t="s">
        <v>907</v>
      </c>
      <c r="C59" s="1">
        <v>6</v>
      </c>
      <c r="D59" s="1" t="str">
        <f>IFERROR(SUBSTITUTE(_xlfn.TEXTAFTER(correspondance[[#This Row],[origin.path]],"enum_"),"_id",""),"")</f>
        <v>type_porte</v>
      </c>
      <c r="E59" s="1" t="str" cm="1">
        <f t="array" ref="E59">IFERROR(INDEX(enums[lib],MATCH(1,(enums[enum]=correspondance[[#This Row],[origin.enum]])*(enums[value]=correspondance[[#This Row],[origin.value]]),0),1),"")</f>
        <v>porte simple en pvc porte avec moins de 30% de vitrage simple</v>
      </c>
      <c r="F59" s="2" t="s">
        <v>946</v>
      </c>
      <c r="G59" s="1">
        <v>15</v>
      </c>
      <c r="H59" s="6" t="str">
        <f t="shared" si="0"/>
        <v>15</v>
      </c>
    </row>
    <row r="60" spans="1:8" x14ac:dyDescent="0.3">
      <c r="A60" s="6" t="s">
        <v>919</v>
      </c>
      <c r="B60" s="11" t="s">
        <v>907</v>
      </c>
      <c r="C60" s="1">
        <v>7</v>
      </c>
      <c r="D60" s="1" t="str">
        <f>IFERROR(SUBSTITUTE(_xlfn.TEXTAFTER(correspondance[[#This Row],[origin.path]],"enum_"),"_id",""),"")</f>
        <v>type_porte</v>
      </c>
      <c r="E60" s="1" t="str" cm="1">
        <f t="array" ref="E60">IFERROR(INDEX(enums[lib],MATCH(1,(enums[enum]=correspondance[[#This Row],[origin.enum]])*(enums[value]=correspondance[[#This Row],[origin.value]]),0),1),"")</f>
        <v>porte simple en pvc porte avec 30-60% de vitrage simple</v>
      </c>
      <c r="F60" s="2" t="s">
        <v>946</v>
      </c>
      <c r="G60" s="1">
        <v>45</v>
      </c>
      <c r="H60" s="6" t="str">
        <f t="shared" si="0"/>
        <v>45</v>
      </c>
    </row>
    <row r="61" spans="1:8" x14ac:dyDescent="0.3">
      <c r="A61" s="6" t="s">
        <v>919</v>
      </c>
      <c r="B61" s="11" t="s">
        <v>907</v>
      </c>
      <c r="C61" s="1">
        <v>8</v>
      </c>
      <c r="D61" s="1" t="str">
        <f>IFERROR(SUBSTITUTE(_xlfn.TEXTAFTER(correspondance[[#This Row],[origin.path]],"enum_"),"_id",""),"")</f>
        <v>type_porte</v>
      </c>
      <c r="E61" s="1" t="str" cm="1">
        <f t="array" ref="E61">IFERROR(INDEX(enums[lib],MATCH(1,(enums[enum]=correspondance[[#This Row],[origin.enum]])*(enums[value]=correspondance[[#This Row],[origin.value]]),0),1),"")</f>
        <v>porte simple en pvc porte avec double vitrage</v>
      </c>
      <c r="F61" s="2" t="s">
        <v>946</v>
      </c>
      <c r="G61" s="1">
        <v>30</v>
      </c>
      <c r="H61" s="6" t="str">
        <f t="shared" si="0"/>
        <v>30</v>
      </c>
    </row>
    <row r="62" spans="1:8" x14ac:dyDescent="0.3">
      <c r="A62" s="6" t="s">
        <v>919</v>
      </c>
      <c r="B62" s="11" t="s">
        <v>907</v>
      </c>
      <c r="C62" s="1">
        <v>9</v>
      </c>
      <c r="D62" s="1" t="str">
        <f>IFERROR(SUBSTITUTE(_xlfn.TEXTAFTER(correspondance[[#This Row],[origin.path]],"enum_"),"_id",""),"")</f>
        <v>type_porte</v>
      </c>
      <c r="E62" s="1" t="str" cm="1">
        <f t="array" ref="E62">IFERROR(INDEX(enums[lib],MATCH(1,(enums[enum]=correspondance[[#This Row],[origin.enum]])*(enums[value]=correspondance[[#This Row],[origin.value]]),0),1),"")</f>
        <v>porte simple en métal porte opaque pleine</v>
      </c>
      <c r="F62" s="2" t="s">
        <v>946</v>
      </c>
      <c r="G62" s="1">
        <v>0</v>
      </c>
      <c r="H62" s="6" t="str">
        <f t="shared" si="0"/>
        <v>0</v>
      </c>
    </row>
    <row r="63" spans="1:8" x14ac:dyDescent="0.3">
      <c r="A63" s="6" t="s">
        <v>919</v>
      </c>
      <c r="B63" s="11" t="s">
        <v>907</v>
      </c>
      <c r="C63" s="1">
        <v>10</v>
      </c>
      <c r="D63" s="1" t="str">
        <f>IFERROR(SUBSTITUTE(_xlfn.TEXTAFTER(correspondance[[#This Row],[origin.path]],"enum_"),"_id",""),"")</f>
        <v>type_porte</v>
      </c>
      <c r="E63" s="1" t="str" cm="1">
        <f t="array" ref="E63">IFERROR(INDEX(enums[lib],MATCH(1,(enums[enum]=correspondance[[#This Row],[origin.enum]])*(enums[value]=correspondance[[#This Row],[origin.value]]),0),1),"")</f>
        <v>porte simple en métal porte avec vitrage simple</v>
      </c>
      <c r="F63" s="2" t="s">
        <v>946</v>
      </c>
      <c r="G63" s="1">
        <v>30</v>
      </c>
      <c r="H63" s="6" t="str">
        <f t="shared" si="0"/>
        <v>30</v>
      </c>
    </row>
    <row r="64" spans="1:8" x14ac:dyDescent="0.3">
      <c r="A64" s="6" t="s">
        <v>919</v>
      </c>
      <c r="B64" s="11" t="s">
        <v>907</v>
      </c>
      <c r="C64" s="1">
        <v>11</v>
      </c>
      <c r="D64" s="1" t="str">
        <f>IFERROR(SUBSTITUTE(_xlfn.TEXTAFTER(correspondance[[#This Row],[origin.path]],"enum_"),"_id",""),"")</f>
        <v>type_porte</v>
      </c>
      <c r="E64" s="1" t="str" cm="1">
        <f t="array" ref="E64">IFERROR(INDEX(enums[lib],MATCH(1,(enums[enum]=correspondance[[#This Row],[origin.enum]])*(enums[value]=correspondance[[#This Row],[origin.value]]),0),1),"")</f>
        <v>porte simple en métal porte avec moins de 30% de double vitrage</v>
      </c>
      <c r="F64" s="2" t="s">
        <v>946</v>
      </c>
      <c r="G64" s="1">
        <v>15</v>
      </c>
      <c r="H64" s="6" t="str">
        <f t="shared" si="0"/>
        <v>15</v>
      </c>
    </row>
    <row r="65" spans="1:8" x14ac:dyDescent="0.3">
      <c r="A65" s="6" t="s">
        <v>919</v>
      </c>
      <c r="B65" s="11" t="s">
        <v>907</v>
      </c>
      <c r="C65" s="1">
        <v>12</v>
      </c>
      <c r="D65" s="1" t="str">
        <f>IFERROR(SUBSTITUTE(_xlfn.TEXTAFTER(correspondance[[#This Row],[origin.path]],"enum_"),"_id",""),"")</f>
        <v>type_porte</v>
      </c>
      <c r="E65" s="1" t="str" cm="1">
        <f t="array" ref="E65">IFERROR(INDEX(enums[lib],MATCH(1,(enums[enum]=correspondance[[#This Row],[origin.enum]])*(enums[value]=correspondance[[#This Row],[origin.value]]),0),1),"")</f>
        <v>porte simple en métal porte avec 30-60% de double vitrage</v>
      </c>
      <c r="F65" s="2" t="s">
        <v>946</v>
      </c>
      <c r="G65" s="1">
        <v>45</v>
      </c>
      <c r="H65" s="6" t="str">
        <f t="shared" si="0"/>
        <v>45</v>
      </c>
    </row>
    <row r="66" spans="1:8" x14ac:dyDescent="0.3">
      <c r="A66" s="6" t="s">
        <v>919</v>
      </c>
      <c r="B66" s="11" t="s">
        <v>907</v>
      </c>
      <c r="C66" s="1">
        <v>13</v>
      </c>
      <c r="D66" s="1" t="str">
        <f>IFERROR(SUBSTITUTE(_xlfn.TEXTAFTER(correspondance[[#This Row],[origin.path]],"enum_"),"_id",""),"")</f>
        <v>type_porte</v>
      </c>
      <c r="E66" s="1" t="str" cm="1">
        <f t="array" ref="E66">IFERROR(INDEX(enums[lib],MATCH(1,(enums[enum]=correspondance[[#This Row],[origin.enum]])*(enums[value]=correspondance[[#This Row],[origin.value]]),0),1),"")</f>
        <v>toute menuiserie porte opaque pleine isolée</v>
      </c>
      <c r="F66" s="2" t="s">
        <v>946</v>
      </c>
      <c r="G66" s="1">
        <v>0</v>
      </c>
      <c r="H66" s="6" t="str">
        <f t="shared" ref="H66:H129" si="1">LOWER(G66)</f>
        <v>0</v>
      </c>
    </row>
    <row r="67" spans="1:8" x14ac:dyDescent="0.3">
      <c r="A67" s="6" t="s">
        <v>919</v>
      </c>
      <c r="B67" s="11" t="s">
        <v>907</v>
      </c>
      <c r="C67" s="1">
        <v>14</v>
      </c>
      <c r="D67" s="1" t="str">
        <f>IFERROR(SUBSTITUTE(_xlfn.TEXTAFTER(correspondance[[#This Row],[origin.path]],"enum_"),"_id",""),"")</f>
        <v>type_porte</v>
      </c>
      <c r="E67" s="1" t="str" cm="1">
        <f t="array" ref="E67">IFERROR(INDEX(enums[lib],MATCH(1,(enums[enum]=correspondance[[#This Row],[origin.enum]])*(enums[value]=correspondance[[#This Row],[origin.value]]),0),1),"")</f>
        <v>toute menuiserie porte précédée d’un sas</v>
      </c>
      <c r="F67" s="2" t="s">
        <v>946</v>
      </c>
      <c r="G67" s="1">
        <v>0</v>
      </c>
      <c r="H67" s="6" t="str">
        <f t="shared" si="1"/>
        <v>0</v>
      </c>
    </row>
    <row r="68" spans="1:8" x14ac:dyDescent="0.3">
      <c r="A68" s="6" t="s">
        <v>919</v>
      </c>
      <c r="B68" s="11" t="s">
        <v>907</v>
      </c>
      <c r="C68" s="1">
        <v>1</v>
      </c>
      <c r="D68" s="1" t="str">
        <f>IFERROR(SUBSTITUTE(_xlfn.TEXTAFTER(correspondance[[#This Row],[origin.path]],"enum_"),"_id",""),"")</f>
        <v>type_porte</v>
      </c>
      <c r="E68" s="1" t="str" cm="1">
        <f t="array" ref="E68">IFERROR(INDEX(enums[lib],MATCH(1,(enums[enum]=correspondance[[#This Row],[origin.enum]])*(enums[value]=correspondance[[#This Row],[origin.value]]),0),1),"")</f>
        <v>porte simple en bois porte opaque pleine</v>
      </c>
      <c r="F68" s="2" t="s">
        <v>924</v>
      </c>
      <c r="G68" s="1">
        <v>0</v>
      </c>
      <c r="H68" s="6" t="str">
        <f t="shared" si="1"/>
        <v>0</v>
      </c>
    </row>
    <row r="69" spans="1:8" x14ac:dyDescent="0.3">
      <c r="A69" s="6" t="s">
        <v>919</v>
      </c>
      <c r="B69" s="11" t="s">
        <v>907</v>
      </c>
      <c r="C69" s="1">
        <v>2</v>
      </c>
      <c r="D69" s="1" t="str">
        <f>IFERROR(SUBSTITUTE(_xlfn.TEXTAFTER(correspondance[[#This Row],[origin.path]],"enum_"),"_id",""),"")</f>
        <v>type_porte</v>
      </c>
      <c r="E69" s="1" t="str" cm="1">
        <f t="array" ref="E69">IFERROR(INDEX(enums[lib],MATCH(1,(enums[enum]=correspondance[[#This Row],[origin.enum]])*(enums[value]=correspondance[[#This Row],[origin.value]]),0),1),"")</f>
        <v>porte simple en bois porte avec moins de 30% de vitrage simple</v>
      </c>
      <c r="F69" s="2" t="s">
        <v>924</v>
      </c>
      <c r="G69" s="1">
        <v>0</v>
      </c>
      <c r="H69" s="6" t="str">
        <f t="shared" si="1"/>
        <v>0</v>
      </c>
    </row>
    <row r="70" spans="1:8" x14ac:dyDescent="0.3">
      <c r="A70" s="6" t="s">
        <v>919</v>
      </c>
      <c r="B70" s="11" t="s">
        <v>907</v>
      </c>
      <c r="C70" s="1">
        <v>3</v>
      </c>
      <c r="D70" s="1" t="str">
        <f>IFERROR(SUBSTITUTE(_xlfn.TEXTAFTER(correspondance[[#This Row],[origin.path]],"enum_"),"_id",""),"")</f>
        <v>type_porte</v>
      </c>
      <c r="E70" s="1" t="str" cm="1">
        <f t="array" ref="E70">IFERROR(INDEX(enums[lib],MATCH(1,(enums[enum]=correspondance[[#This Row],[origin.enum]])*(enums[value]=correspondance[[#This Row],[origin.value]]),0),1),"")</f>
        <v>porte simple en bois porte avec 30-60% de vitrage simple</v>
      </c>
      <c r="F70" s="2" t="s">
        <v>924</v>
      </c>
      <c r="G70" s="1">
        <v>0</v>
      </c>
      <c r="H70" s="6" t="str">
        <f t="shared" si="1"/>
        <v>0</v>
      </c>
    </row>
    <row r="71" spans="1:8" x14ac:dyDescent="0.3">
      <c r="A71" s="6" t="s">
        <v>919</v>
      </c>
      <c r="B71" s="11" t="s">
        <v>907</v>
      </c>
      <c r="C71" s="1">
        <v>4</v>
      </c>
      <c r="D71" s="1" t="str">
        <f>IFERROR(SUBSTITUTE(_xlfn.TEXTAFTER(correspondance[[#This Row],[origin.path]],"enum_"),"_id",""),"")</f>
        <v>type_porte</v>
      </c>
      <c r="E71" s="1" t="str" cm="1">
        <f t="array" ref="E71">IFERROR(INDEX(enums[lib],MATCH(1,(enums[enum]=correspondance[[#This Row],[origin.enum]])*(enums[value]=correspondance[[#This Row],[origin.value]]),0),1),"")</f>
        <v>porte simple en bois porte avec double vitrage</v>
      </c>
      <c r="F71" s="2" t="s">
        <v>924</v>
      </c>
      <c r="G71" s="1">
        <v>0</v>
      </c>
      <c r="H71" s="6" t="str">
        <f t="shared" si="1"/>
        <v>0</v>
      </c>
    </row>
    <row r="72" spans="1:8" x14ac:dyDescent="0.3">
      <c r="A72" s="6" t="s">
        <v>919</v>
      </c>
      <c r="B72" s="11" t="s">
        <v>907</v>
      </c>
      <c r="C72" s="1">
        <v>5</v>
      </c>
      <c r="D72" s="1" t="str">
        <f>IFERROR(SUBSTITUTE(_xlfn.TEXTAFTER(correspondance[[#This Row],[origin.path]],"enum_"),"_id",""),"")</f>
        <v>type_porte</v>
      </c>
      <c r="E72" s="1" t="str" cm="1">
        <f t="array" ref="E72">IFERROR(INDEX(enums[lib],MATCH(1,(enums[enum]=correspondance[[#This Row],[origin.enum]])*(enums[value]=correspondance[[#This Row],[origin.value]]),0),1),"")</f>
        <v>porte simple en pvc porte opaque pleine</v>
      </c>
      <c r="F72" s="2" t="s">
        <v>924</v>
      </c>
      <c r="G72" s="1">
        <v>0</v>
      </c>
      <c r="H72" s="6" t="str">
        <f t="shared" si="1"/>
        <v>0</v>
      </c>
    </row>
    <row r="73" spans="1:8" x14ac:dyDescent="0.3">
      <c r="A73" s="6" t="s">
        <v>919</v>
      </c>
      <c r="B73" s="11" t="s">
        <v>907</v>
      </c>
      <c r="C73" s="1">
        <v>6</v>
      </c>
      <c r="D73" s="1" t="str">
        <f>IFERROR(SUBSTITUTE(_xlfn.TEXTAFTER(correspondance[[#This Row],[origin.path]],"enum_"),"_id",""),"")</f>
        <v>type_porte</v>
      </c>
      <c r="E73" s="1" t="str" cm="1">
        <f t="array" ref="E73">IFERROR(INDEX(enums[lib],MATCH(1,(enums[enum]=correspondance[[#This Row],[origin.enum]])*(enums[value]=correspondance[[#This Row],[origin.value]]),0),1),"")</f>
        <v>porte simple en pvc porte avec moins de 30% de vitrage simple</v>
      </c>
      <c r="F73" s="2" t="s">
        <v>924</v>
      </c>
      <c r="G73" s="1">
        <v>0</v>
      </c>
      <c r="H73" s="6" t="str">
        <f t="shared" si="1"/>
        <v>0</v>
      </c>
    </row>
    <row r="74" spans="1:8" x14ac:dyDescent="0.3">
      <c r="A74" s="6" t="s">
        <v>919</v>
      </c>
      <c r="B74" s="11" t="s">
        <v>907</v>
      </c>
      <c r="C74" s="1">
        <v>7</v>
      </c>
      <c r="D74" s="1" t="str">
        <f>IFERROR(SUBSTITUTE(_xlfn.TEXTAFTER(correspondance[[#This Row],[origin.path]],"enum_"),"_id",""),"")</f>
        <v>type_porte</v>
      </c>
      <c r="E74" s="1" t="str" cm="1">
        <f t="array" ref="E74">IFERROR(INDEX(enums[lib],MATCH(1,(enums[enum]=correspondance[[#This Row],[origin.enum]])*(enums[value]=correspondance[[#This Row],[origin.value]]),0),1),"")</f>
        <v>porte simple en pvc porte avec 30-60% de vitrage simple</v>
      </c>
      <c r="F74" s="2" t="s">
        <v>924</v>
      </c>
      <c r="G74" s="1">
        <v>0</v>
      </c>
      <c r="H74" s="6" t="str">
        <f t="shared" si="1"/>
        <v>0</v>
      </c>
    </row>
    <row r="75" spans="1:8" x14ac:dyDescent="0.3">
      <c r="A75" s="6" t="s">
        <v>919</v>
      </c>
      <c r="B75" s="11" t="s">
        <v>907</v>
      </c>
      <c r="C75" s="1">
        <v>8</v>
      </c>
      <c r="D75" s="1" t="str">
        <f>IFERROR(SUBSTITUTE(_xlfn.TEXTAFTER(correspondance[[#This Row],[origin.path]],"enum_"),"_id",""),"")</f>
        <v>type_porte</v>
      </c>
      <c r="E75" s="1" t="str" cm="1">
        <f t="array" ref="E75">IFERROR(INDEX(enums[lib],MATCH(1,(enums[enum]=correspondance[[#This Row],[origin.enum]])*(enums[value]=correspondance[[#This Row],[origin.value]]),0),1),"")</f>
        <v>porte simple en pvc porte avec double vitrage</v>
      </c>
      <c r="F75" s="2" t="s">
        <v>924</v>
      </c>
      <c r="G75" s="1">
        <v>0</v>
      </c>
      <c r="H75" s="6" t="str">
        <f t="shared" si="1"/>
        <v>0</v>
      </c>
    </row>
    <row r="76" spans="1:8" x14ac:dyDescent="0.3">
      <c r="A76" s="6" t="s">
        <v>919</v>
      </c>
      <c r="B76" s="11" t="s">
        <v>907</v>
      </c>
      <c r="C76" s="1">
        <v>9</v>
      </c>
      <c r="D76" s="1" t="str">
        <f>IFERROR(SUBSTITUTE(_xlfn.TEXTAFTER(correspondance[[#This Row],[origin.path]],"enum_"),"_id",""),"")</f>
        <v>type_porte</v>
      </c>
      <c r="E76" s="1" t="str" cm="1">
        <f t="array" ref="E76">IFERROR(INDEX(enums[lib],MATCH(1,(enums[enum]=correspondance[[#This Row],[origin.enum]])*(enums[value]=correspondance[[#This Row],[origin.value]]),0),1),"")</f>
        <v>porte simple en métal porte opaque pleine</v>
      </c>
      <c r="F76" s="2" t="s">
        <v>924</v>
      </c>
      <c r="G76" s="1">
        <v>0</v>
      </c>
      <c r="H76" s="6" t="str">
        <f t="shared" si="1"/>
        <v>0</v>
      </c>
    </row>
    <row r="77" spans="1:8" x14ac:dyDescent="0.3">
      <c r="A77" s="6" t="s">
        <v>919</v>
      </c>
      <c r="B77" s="11" t="s">
        <v>907</v>
      </c>
      <c r="C77" s="1">
        <v>10</v>
      </c>
      <c r="D77" s="1" t="str">
        <f>IFERROR(SUBSTITUTE(_xlfn.TEXTAFTER(correspondance[[#This Row],[origin.path]],"enum_"),"_id",""),"")</f>
        <v>type_porte</v>
      </c>
      <c r="E77" s="1" t="str" cm="1">
        <f t="array" ref="E77">IFERROR(INDEX(enums[lib],MATCH(1,(enums[enum]=correspondance[[#This Row],[origin.enum]])*(enums[value]=correspondance[[#This Row],[origin.value]]),0),1),"")</f>
        <v>porte simple en métal porte avec vitrage simple</v>
      </c>
      <c r="F77" s="2" t="s">
        <v>924</v>
      </c>
      <c r="G77" s="1">
        <v>0</v>
      </c>
      <c r="H77" s="6" t="str">
        <f t="shared" si="1"/>
        <v>0</v>
      </c>
    </row>
    <row r="78" spans="1:8" x14ac:dyDescent="0.3">
      <c r="A78" s="6" t="s">
        <v>919</v>
      </c>
      <c r="B78" s="11" t="s">
        <v>907</v>
      </c>
      <c r="C78" s="1">
        <v>11</v>
      </c>
      <c r="D78" s="1" t="str">
        <f>IFERROR(SUBSTITUTE(_xlfn.TEXTAFTER(correspondance[[#This Row],[origin.path]],"enum_"),"_id",""),"")</f>
        <v>type_porte</v>
      </c>
      <c r="E78" s="1" t="str" cm="1">
        <f t="array" ref="E78">IFERROR(INDEX(enums[lib],MATCH(1,(enums[enum]=correspondance[[#This Row],[origin.enum]])*(enums[value]=correspondance[[#This Row],[origin.value]]),0),1),"")</f>
        <v>porte simple en métal porte avec moins de 30% de double vitrage</v>
      </c>
      <c r="F78" s="2" t="s">
        <v>924</v>
      </c>
      <c r="G78" s="1">
        <v>0</v>
      </c>
      <c r="H78" s="6" t="str">
        <f t="shared" si="1"/>
        <v>0</v>
      </c>
    </row>
    <row r="79" spans="1:8" x14ac:dyDescent="0.3">
      <c r="A79" s="6" t="s">
        <v>919</v>
      </c>
      <c r="B79" s="11" t="s">
        <v>907</v>
      </c>
      <c r="C79" s="1">
        <v>12</v>
      </c>
      <c r="D79" s="1" t="str">
        <f>IFERROR(SUBSTITUTE(_xlfn.TEXTAFTER(correspondance[[#This Row],[origin.path]],"enum_"),"_id",""),"")</f>
        <v>type_porte</v>
      </c>
      <c r="E79" s="1" t="str" cm="1">
        <f t="array" ref="E79">IFERROR(INDEX(enums[lib],MATCH(1,(enums[enum]=correspondance[[#This Row],[origin.enum]])*(enums[value]=correspondance[[#This Row],[origin.value]]),0),1),"")</f>
        <v>porte simple en métal porte avec 30-60% de double vitrage</v>
      </c>
      <c r="F79" s="2" t="s">
        <v>924</v>
      </c>
      <c r="G79" s="1">
        <v>0</v>
      </c>
      <c r="H79" s="6" t="str">
        <f t="shared" si="1"/>
        <v>0</v>
      </c>
    </row>
    <row r="80" spans="1:8" x14ac:dyDescent="0.3">
      <c r="A80" s="6" t="s">
        <v>919</v>
      </c>
      <c r="B80" s="11" t="s">
        <v>907</v>
      </c>
      <c r="C80" s="1">
        <v>13</v>
      </c>
      <c r="D80" s="1" t="str">
        <f>IFERROR(SUBSTITUTE(_xlfn.TEXTAFTER(correspondance[[#This Row],[origin.path]],"enum_"),"_id",""),"")</f>
        <v>type_porte</v>
      </c>
      <c r="E80" s="1" t="str" cm="1">
        <f t="array" ref="E80">IFERROR(INDEX(enums[lib],MATCH(1,(enums[enum]=correspondance[[#This Row],[origin.enum]])*(enums[value]=correspondance[[#This Row],[origin.value]]),0),1),"")</f>
        <v>toute menuiserie porte opaque pleine isolée</v>
      </c>
      <c r="F80" s="2" t="s">
        <v>924</v>
      </c>
      <c r="G80" s="1">
        <v>0</v>
      </c>
      <c r="H80" s="6" t="str">
        <f t="shared" si="1"/>
        <v>0</v>
      </c>
    </row>
    <row r="81" spans="1:8" x14ac:dyDescent="0.3">
      <c r="A81" s="6" t="s">
        <v>919</v>
      </c>
      <c r="B81" s="11" t="s">
        <v>907</v>
      </c>
      <c r="C81" s="1">
        <v>14</v>
      </c>
      <c r="D81" s="1" t="str">
        <f>IFERROR(SUBSTITUTE(_xlfn.TEXTAFTER(correspondance[[#This Row],[origin.path]],"enum_"),"_id",""),"")</f>
        <v>type_porte</v>
      </c>
      <c r="E81" s="1" t="str" cm="1">
        <f t="array" ref="E81">IFERROR(INDEX(enums[lib],MATCH(1,(enums[enum]=correspondance[[#This Row],[origin.enum]])*(enums[value]=correspondance[[#This Row],[origin.value]]),0),1),"")</f>
        <v>toute menuiserie porte précédée d’un sas</v>
      </c>
      <c r="F81" s="2" t="s">
        <v>924</v>
      </c>
      <c r="G81" s="1">
        <v>0</v>
      </c>
      <c r="H81" s="6" t="str">
        <f t="shared" si="1"/>
        <v>0</v>
      </c>
    </row>
    <row r="82" spans="1:8" x14ac:dyDescent="0.3">
      <c r="A82" s="6" t="s">
        <v>919</v>
      </c>
      <c r="B82" s="11" t="s">
        <v>907</v>
      </c>
      <c r="C82" s="1">
        <v>14</v>
      </c>
      <c r="D82" s="1" t="str">
        <f>IFERROR(SUBSTITUTE(_xlfn.TEXTAFTER(correspondance[[#This Row],[origin.path]],"enum_"),"_id",""),"")</f>
        <v>type_porte</v>
      </c>
      <c r="E82" s="1" t="str" cm="1">
        <f t="array" ref="E82">IFERROR(INDEX(enums[lib],MATCH(1,(enums[enum]=correspondance[[#This Row],[origin.enum]])*(enums[value]=correspondance[[#This Row],[origin.value]]),0),1),"")</f>
        <v>toute menuiserie porte précédée d’un sas</v>
      </c>
      <c r="F82" s="2" t="s">
        <v>924</v>
      </c>
      <c r="G82" s="1">
        <v>1</v>
      </c>
      <c r="H82" s="6" t="str">
        <f t="shared" si="1"/>
        <v>1</v>
      </c>
    </row>
    <row r="83" spans="1:8" x14ac:dyDescent="0.3">
      <c r="A83" s="6" t="s">
        <v>962</v>
      </c>
      <c r="B83" s="11" t="s">
        <v>958</v>
      </c>
      <c r="C83" s="1">
        <v>1</v>
      </c>
      <c r="D83" s="12" t="str">
        <f>IFERROR(SUBSTITUTE(_xlfn.TEXTAFTER(correspondance[[#This Row],[origin.path]],"enum_"),"_id",""),"")</f>
        <v>type_liaison</v>
      </c>
      <c r="E83" s="12" t="str" cm="1">
        <f t="array" ref="E83">IFERROR(INDEX(enums[lib],MATCH(1,(enums[enum]=correspondance[[#This Row],[origin.enum]])*(enums[value]=correspondance[[#This Row],[origin.value]]),0),1),"")</f>
        <v>plancher bas / mur</v>
      </c>
      <c r="F83" s="2" t="s">
        <v>969</v>
      </c>
      <c r="G83" s="1" t="s">
        <v>971</v>
      </c>
      <c r="H83" s="6" t="str">
        <f t="shared" si="1"/>
        <v>plancher_bas_mur</v>
      </c>
    </row>
    <row r="84" spans="1:8" x14ac:dyDescent="0.3">
      <c r="A84" s="6" t="s">
        <v>962</v>
      </c>
      <c r="B84" s="11" t="s">
        <v>958</v>
      </c>
      <c r="C84" s="1">
        <v>2</v>
      </c>
      <c r="D84" s="12" t="str">
        <f>IFERROR(SUBSTITUTE(_xlfn.TEXTAFTER(correspondance[[#This Row],[origin.path]],"enum_"),"_id",""),"")</f>
        <v>type_liaison</v>
      </c>
      <c r="E84" s="12" t="str" cm="1">
        <f t="array" ref="E84">IFERROR(INDEX(enums[lib],MATCH(1,(enums[enum]=correspondance[[#This Row],[origin.enum]])*(enums[value]=correspondance[[#This Row],[origin.value]]),0),1),"")</f>
        <v>plancher intermédiaire lourd / mur</v>
      </c>
      <c r="F84" s="2" t="s">
        <v>969</v>
      </c>
      <c r="G84" s="1" t="s">
        <v>974</v>
      </c>
      <c r="H84" s="6" t="str">
        <f t="shared" si="1"/>
        <v>plancher_intermediaire_mur</v>
      </c>
    </row>
    <row r="85" spans="1:8" x14ac:dyDescent="0.3">
      <c r="A85" s="6" t="s">
        <v>962</v>
      </c>
      <c r="B85" s="11" t="s">
        <v>958</v>
      </c>
      <c r="C85" s="1">
        <v>3</v>
      </c>
      <c r="D85" s="12" t="str">
        <f>IFERROR(SUBSTITUTE(_xlfn.TEXTAFTER(correspondance[[#This Row],[origin.path]],"enum_"),"_id",""),"")</f>
        <v>type_liaison</v>
      </c>
      <c r="E85" s="12" t="str" cm="1">
        <f t="array" ref="E85">IFERROR(INDEX(enums[lib],MATCH(1,(enums[enum]=correspondance[[#This Row],[origin.enum]])*(enums[value]=correspondance[[#This Row],[origin.value]]),0),1),"")</f>
        <v>plancher haut lourd / mur</v>
      </c>
      <c r="F85" s="2" t="s">
        <v>969</v>
      </c>
      <c r="G85" s="1" t="s">
        <v>975</v>
      </c>
      <c r="H85" s="6" t="str">
        <f t="shared" si="1"/>
        <v>plancher_haut_mur</v>
      </c>
    </row>
    <row r="86" spans="1:8" x14ac:dyDescent="0.3">
      <c r="A86" s="6" t="s">
        <v>962</v>
      </c>
      <c r="B86" s="11" t="s">
        <v>958</v>
      </c>
      <c r="C86" s="1">
        <v>4</v>
      </c>
      <c r="D86" s="12" t="str">
        <f>IFERROR(SUBSTITUTE(_xlfn.TEXTAFTER(correspondance[[#This Row],[origin.path]],"enum_"),"_id",""),"")</f>
        <v>type_liaison</v>
      </c>
      <c r="E86" s="12" t="str" cm="1">
        <f t="array" ref="E86">IFERROR(INDEX(enums[lib],MATCH(1,(enums[enum]=correspondance[[#This Row],[origin.enum]])*(enums[value]=correspondance[[#This Row],[origin.value]]),0),1),"")</f>
        <v>refend / mur</v>
      </c>
      <c r="F86" s="2" t="s">
        <v>969</v>
      </c>
      <c r="G86" s="1" t="s">
        <v>972</v>
      </c>
      <c r="H86" s="6" t="str">
        <f t="shared" si="1"/>
        <v>refend_mur</v>
      </c>
    </row>
    <row r="87" spans="1:8" x14ac:dyDescent="0.3">
      <c r="A87" s="6" t="s">
        <v>962</v>
      </c>
      <c r="B87" s="11" t="s">
        <v>958</v>
      </c>
      <c r="C87" s="1">
        <v>5</v>
      </c>
      <c r="D87" s="12" t="str">
        <f>IFERROR(SUBSTITUTE(_xlfn.TEXTAFTER(correspondance[[#This Row],[origin.path]],"enum_"),"_id",""),"")</f>
        <v>type_liaison</v>
      </c>
      <c r="E87" s="12" t="str" cm="1">
        <f t="array" ref="E87">IFERROR(INDEX(enums[lib],MATCH(1,(enums[enum]=correspondance[[#This Row],[origin.enum]])*(enums[value]=correspondance[[#This Row],[origin.value]]),0),1),"")</f>
        <v>menuiserie / mur</v>
      </c>
      <c r="F87" s="2" t="s">
        <v>969</v>
      </c>
      <c r="G87" s="1" t="s">
        <v>973</v>
      </c>
      <c r="H87" s="6" t="str">
        <f t="shared" si="1"/>
        <v>menuiserie_mur</v>
      </c>
    </row>
    <row r="88" spans="1:8" x14ac:dyDescent="0.3">
      <c r="A88" s="6" t="s">
        <v>962</v>
      </c>
      <c r="B88" s="2" t="s">
        <v>957</v>
      </c>
      <c r="C88" s="1">
        <v>0.5</v>
      </c>
      <c r="D88" s="12" t="str">
        <f>IFERROR(SUBSTITUTE(_xlfn.TEXTAFTER(correspondance[[#This Row],[origin.path]],"enum_"),"_id",""),"")</f>
        <v/>
      </c>
      <c r="E88" s="12" t="str" cm="1">
        <f t="array" ref="E88">IFERROR(INDEX(enums[lib],MATCH(1,(enums[enum]=correspondance[[#This Row],[origin.enum]])*(enums[value]=correspondance[[#This Row],[origin.value]]),0),1),"")</f>
        <v/>
      </c>
      <c r="F88" s="2" t="s">
        <v>968</v>
      </c>
      <c r="G88" s="1">
        <v>1</v>
      </c>
      <c r="H88" s="6" t="str">
        <f t="shared" si="1"/>
        <v>1</v>
      </c>
    </row>
    <row r="89" spans="1:8" x14ac:dyDescent="0.3">
      <c r="A89" s="6" t="s">
        <v>962</v>
      </c>
      <c r="B89" s="2" t="s">
        <v>957</v>
      </c>
      <c r="C89" s="1">
        <v>1</v>
      </c>
      <c r="D89" s="12" t="str">
        <f>IFERROR(SUBSTITUTE(_xlfn.TEXTAFTER(correspondance[[#This Row],[origin.path]],"enum_"),"_id",""),"")</f>
        <v/>
      </c>
      <c r="E89" s="12" t="str" cm="1">
        <f t="array" ref="E89">IFERROR(INDEX(enums[lib],MATCH(1,(enums[enum]=correspondance[[#This Row],[origin.enum]])*(enums[value]=correspondance[[#This Row],[origin.value]]),0),1),"")</f>
        <v/>
      </c>
      <c r="F89" s="2" t="s">
        <v>968</v>
      </c>
      <c r="G89" s="1">
        <v>0</v>
      </c>
      <c r="H89" s="6" t="str">
        <f t="shared" si="1"/>
        <v>0</v>
      </c>
    </row>
    <row r="90" spans="1:8" x14ac:dyDescent="0.3">
      <c r="A90" s="6" t="s">
        <v>988</v>
      </c>
      <c r="B90" s="11" t="s">
        <v>979</v>
      </c>
      <c r="C90" s="1">
        <v>0</v>
      </c>
      <c r="D90" s="12" t="str">
        <f>IFERROR(SUBSTITUTE(_xlfn.TEXTAFTER(correspondance[[#This Row],[origin.path]],"enum_"),"_id",""),"")</f>
        <v/>
      </c>
      <c r="E90" s="12" t="str" cm="1">
        <f t="array" ref="E90">IFERROR(INDEX(enums[lib],MATCH(1,(enums[enum]=correspondance[[#This Row],[origin.enum]])*(enums[value]=correspondance[[#This Row],[origin.value]]),0),1),"")</f>
        <v/>
      </c>
      <c r="F90" s="2" t="s">
        <v>993</v>
      </c>
      <c r="G90" s="1" t="s">
        <v>1004</v>
      </c>
      <c r="H90" s="6" t="str">
        <f t="shared" si="1"/>
        <v>legere</v>
      </c>
    </row>
    <row r="91" spans="1:8" x14ac:dyDescent="0.3">
      <c r="A91" s="6" t="s">
        <v>988</v>
      </c>
      <c r="B91" s="11" t="s">
        <v>979</v>
      </c>
      <c r="C91" s="1">
        <v>1</v>
      </c>
      <c r="D91" s="12" t="str">
        <f>IFERROR(SUBSTITUTE(_xlfn.TEXTAFTER(correspondance[[#This Row],[origin.path]],"enum_"),"_id",""),"")</f>
        <v/>
      </c>
      <c r="E91" s="12" t="str" cm="1">
        <f t="array" ref="E91">IFERROR(INDEX(enums[lib],MATCH(1,(enums[enum]=correspondance[[#This Row],[origin.enum]])*(enums[value]=correspondance[[#This Row],[origin.value]]),0),1),"")</f>
        <v/>
      </c>
      <c r="F91" s="2" t="s">
        <v>993</v>
      </c>
      <c r="G91" s="1" t="s">
        <v>198</v>
      </c>
      <c r="H91" s="6" t="str">
        <f t="shared" si="1"/>
        <v>lourde</v>
      </c>
    </row>
    <row r="92" spans="1:8" x14ac:dyDescent="0.3">
      <c r="A92" s="6" t="s">
        <v>988</v>
      </c>
      <c r="B92" s="2" t="s">
        <v>984</v>
      </c>
      <c r="C92" s="1">
        <v>1</v>
      </c>
      <c r="D92" s="12" t="str">
        <f>IFERROR(SUBSTITUTE(_xlfn.TEXTAFTER(correspondance[[#This Row],[origin.path]],"enum_"),"_id",""),"")</f>
        <v>type_isolation</v>
      </c>
      <c r="E92" s="12" t="str" cm="1">
        <f t="array" ref="E92">IFERROR(INDEX(enums[lib],MATCH(1,(enums[enum]=correspondance[[#This Row],[origin.enum]])*(enums[value]=correspondance[[#This Row],[origin.value]]),0),1),"")</f>
        <v>inconnu</v>
      </c>
      <c r="F92" s="2" t="s">
        <v>999</v>
      </c>
      <c r="G92" s="1"/>
      <c r="H92" s="6" t="str">
        <f t="shared" si="1"/>
        <v/>
      </c>
    </row>
    <row r="93" spans="1:8" x14ac:dyDescent="0.3">
      <c r="A93" s="6" t="s">
        <v>988</v>
      </c>
      <c r="B93" s="2" t="s">
        <v>984</v>
      </c>
      <c r="C93" s="1">
        <v>2</v>
      </c>
      <c r="D93" s="12" t="str">
        <f>IFERROR(SUBSTITUTE(_xlfn.TEXTAFTER(correspondance[[#This Row],[origin.path]],"enum_"),"_id",""),"")</f>
        <v>type_isolation</v>
      </c>
      <c r="E93" s="12" t="str" cm="1">
        <f t="array" ref="E93">IFERROR(INDEX(enums[lib],MATCH(1,(enums[enum]=correspondance[[#This Row],[origin.enum]])*(enums[value]=correspondance[[#This Row],[origin.value]]),0),1),"")</f>
        <v>non isolé</v>
      </c>
      <c r="F93" s="2" t="s">
        <v>999</v>
      </c>
      <c r="G93" s="1" t="s">
        <v>936</v>
      </c>
      <c r="H93" s="6" t="str">
        <f t="shared" si="1"/>
        <v>non_isole</v>
      </c>
    </row>
    <row r="94" spans="1:8" x14ac:dyDescent="0.3">
      <c r="A94" s="6" t="s">
        <v>988</v>
      </c>
      <c r="B94" s="2" t="s">
        <v>984</v>
      </c>
      <c r="C94" s="1">
        <v>3</v>
      </c>
      <c r="D94" s="12" t="str">
        <f>IFERROR(SUBSTITUTE(_xlfn.TEXTAFTER(correspondance[[#This Row],[origin.path]],"enum_"),"_id",""),"")</f>
        <v>type_isolation</v>
      </c>
      <c r="E94" s="12" t="str" cm="1">
        <f t="array" ref="E94">IFERROR(INDEX(enums[lib],MATCH(1,(enums[enum]=correspondance[[#This Row],[origin.enum]])*(enums[value]=correspondance[[#This Row],[origin.value]]),0),1),"")</f>
        <v>iti</v>
      </c>
      <c r="F94" s="2" t="s">
        <v>999</v>
      </c>
      <c r="G94" s="1" t="s">
        <v>937</v>
      </c>
      <c r="H94" s="6" t="str">
        <f t="shared" si="1"/>
        <v>isole</v>
      </c>
    </row>
    <row r="95" spans="1:8" x14ac:dyDescent="0.3">
      <c r="A95" s="6" t="s">
        <v>988</v>
      </c>
      <c r="B95" s="2" t="s">
        <v>984</v>
      </c>
      <c r="C95" s="1">
        <v>4</v>
      </c>
      <c r="D95" s="12" t="str">
        <f>IFERROR(SUBSTITUTE(_xlfn.TEXTAFTER(correspondance[[#This Row],[origin.path]],"enum_"),"_id",""),"")</f>
        <v>type_isolation</v>
      </c>
      <c r="E95" s="12" t="str" cm="1">
        <f t="array" ref="E95">IFERROR(INDEX(enums[lib],MATCH(1,(enums[enum]=correspondance[[#This Row],[origin.enum]])*(enums[value]=correspondance[[#This Row],[origin.value]]),0),1),"")</f>
        <v>ite</v>
      </c>
      <c r="F95" s="2" t="s">
        <v>999</v>
      </c>
      <c r="G95" s="1" t="s">
        <v>937</v>
      </c>
      <c r="H95" s="6" t="str">
        <f t="shared" si="1"/>
        <v>isole</v>
      </c>
    </row>
    <row r="96" spans="1:8" x14ac:dyDescent="0.3">
      <c r="A96" s="6" t="s">
        <v>988</v>
      </c>
      <c r="B96" s="2" t="s">
        <v>984</v>
      </c>
      <c r="C96" s="1">
        <v>5</v>
      </c>
      <c r="D96" s="12" t="str">
        <f>IFERROR(SUBSTITUTE(_xlfn.TEXTAFTER(correspondance[[#This Row],[origin.path]],"enum_"),"_id",""),"")</f>
        <v>type_isolation</v>
      </c>
      <c r="E96" s="12" t="str" cm="1">
        <f t="array" ref="E96">IFERROR(INDEX(enums[lib],MATCH(1,(enums[enum]=correspondance[[#This Row],[origin.enum]])*(enums[value]=correspondance[[#This Row],[origin.value]]),0),1),"")</f>
        <v>itr</v>
      </c>
      <c r="F96" s="2" t="s">
        <v>999</v>
      </c>
      <c r="G96" s="1" t="s">
        <v>937</v>
      </c>
      <c r="H96" s="6" t="str">
        <f t="shared" si="1"/>
        <v>isole</v>
      </c>
    </row>
    <row r="97" spans="1:8" x14ac:dyDescent="0.3">
      <c r="A97" s="6" t="s">
        <v>988</v>
      </c>
      <c r="B97" s="2" t="s">
        <v>984</v>
      </c>
      <c r="C97" s="1">
        <v>6</v>
      </c>
      <c r="D97" s="12" t="str">
        <f>IFERROR(SUBSTITUTE(_xlfn.TEXTAFTER(correspondance[[#This Row],[origin.path]],"enum_"),"_id",""),"")</f>
        <v>type_isolation</v>
      </c>
      <c r="E97" s="12" t="str" cm="1">
        <f t="array" ref="E97">IFERROR(INDEX(enums[lib],MATCH(1,(enums[enum]=correspondance[[#This Row],[origin.enum]])*(enums[value]=correspondance[[#This Row],[origin.value]]),0),1),"")</f>
        <v>iti+ite</v>
      </c>
      <c r="F97" s="2" t="s">
        <v>999</v>
      </c>
      <c r="G97" s="1" t="s">
        <v>937</v>
      </c>
      <c r="H97" s="6" t="str">
        <f t="shared" si="1"/>
        <v>isole</v>
      </c>
    </row>
    <row r="98" spans="1:8" x14ac:dyDescent="0.3">
      <c r="A98" s="6" t="s">
        <v>988</v>
      </c>
      <c r="B98" s="2" t="s">
        <v>984</v>
      </c>
      <c r="C98" s="1">
        <v>7</v>
      </c>
      <c r="D98" s="12" t="str">
        <f>IFERROR(SUBSTITUTE(_xlfn.TEXTAFTER(correspondance[[#This Row],[origin.path]],"enum_"),"_id",""),"")</f>
        <v>type_isolation</v>
      </c>
      <c r="E98" s="12" t="str" cm="1">
        <f t="array" ref="E98">IFERROR(INDEX(enums[lib],MATCH(1,(enums[enum]=correspondance[[#This Row],[origin.enum]])*(enums[value]=correspondance[[#This Row],[origin.value]]),0),1),"")</f>
        <v>iti+itr</v>
      </c>
      <c r="F98" s="2" t="s">
        <v>999</v>
      </c>
      <c r="G98" s="1" t="s">
        <v>937</v>
      </c>
      <c r="H98" s="6" t="str">
        <f t="shared" si="1"/>
        <v>isole</v>
      </c>
    </row>
    <row r="99" spans="1:8" x14ac:dyDescent="0.3">
      <c r="A99" s="6" t="s">
        <v>988</v>
      </c>
      <c r="B99" s="2" t="s">
        <v>984</v>
      </c>
      <c r="C99" s="1">
        <v>8</v>
      </c>
      <c r="D99" s="12" t="str">
        <f>IFERROR(SUBSTITUTE(_xlfn.TEXTAFTER(correspondance[[#This Row],[origin.path]],"enum_"),"_id",""),"")</f>
        <v>type_isolation</v>
      </c>
      <c r="E99" s="12" t="str" cm="1">
        <f t="array" ref="E99">IFERROR(INDEX(enums[lib],MATCH(1,(enums[enum]=correspondance[[#This Row],[origin.enum]])*(enums[value]=correspondance[[#This Row],[origin.value]]),0),1),"")</f>
        <v>ite+itr</v>
      </c>
      <c r="F99" s="2" t="s">
        <v>999</v>
      </c>
      <c r="G99" s="1" t="s">
        <v>937</v>
      </c>
      <c r="H99" s="6" t="str">
        <f t="shared" si="1"/>
        <v>isole</v>
      </c>
    </row>
    <row r="100" spans="1:8" x14ac:dyDescent="0.3">
      <c r="A100" s="6" t="s">
        <v>988</v>
      </c>
      <c r="B100" s="2" t="s">
        <v>984</v>
      </c>
      <c r="C100" s="1">
        <v>9</v>
      </c>
      <c r="D100" s="12" t="str">
        <f>IFERROR(SUBSTITUTE(_xlfn.TEXTAFTER(correspondance[[#This Row],[origin.path]],"enum_"),"_id",""),"")</f>
        <v>type_isolation</v>
      </c>
      <c r="E100" s="12" t="str" cm="1">
        <f t="array" ref="E100">IFERROR(INDEX(enums[lib],MATCH(1,(enums[enum]=correspondance[[#This Row],[origin.enum]])*(enums[value]=correspondance[[#This Row],[origin.value]]),0),1),"")</f>
        <v>isolé mais type d'isolation inconnu</v>
      </c>
      <c r="F100" s="2" t="s">
        <v>999</v>
      </c>
      <c r="G100" s="1" t="s">
        <v>937</v>
      </c>
      <c r="H100" s="6" t="str">
        <f t="shared" si="1"/>
        <v>isole</v>
      </c>
    </row>
    <row r="101" spans="1:8" x14ac:dyDescent="0.3">
      <c r="A101" s="6" t="s">
        <v>988</v>
      </c>
      <c r="B101" s="2" t="s">
        <v>984</v>
      </c>
      <c r="C101" s="1">
        <v>1</v>
      </c>
      <c r="D101" s="12" t="str">
        <f>IFERROR(SUBSTITUTE(_xlfn.TEXTAFTER(correspondance[[#This Row],[origin.path]],"enum_"),"_id",""),"")</f>
        <v>type_isolation</v>
      </c>
      <c r="E101" s="12" t="str" cm="1">
        <f t="array" ref="E101">IFERROR(INDEX(enums[lib],MATCH(1,(enums[enum]=correspondance[[#This Row],[origin.enum]])*(enums[value]=correspondance[[#This Row],[origin.value]]),0),1),"")</f>
        <v>inconnu</v>
      </c>
      <c r="F101" s="2" t="s">
        <v>999</v>
      </c>
      <c r="G101" s="1"/>
      <c r="H101" s="6" t="str">
        <f t="shared" si="1"/>
        <v/>
      </c>
    </row>
    <row r="102" spans="1:8" x14ac:dyDescent="0.3">
      <c r="A102" s="6" t="s">
        <v>988</v>
      </c>
      <c r="B102" s="2" t="s">
        <v>984</v>
      </c>
      <c r="C102" s="1">
        <v>2</v>
      </c>
      <c r="D102" s="12" t="str">
        <f>IFERROR(SUBSTITUTE(_xlfn.TEXTAFTER(correspondance[[#This Row],[origin.path]],"enum_"),"_id",""),"")</f>
        <v>type_isolation</v>
      </c>
      <c r="E102" s="12" t="str" cm="1">
        <f t="array" ref="E102">IFERROR(INDEX(enums[lib],MATCH(1,(enums[enum]=correspondance[[#This Row],[origin.enum]])*(enums[value]=correspondance[[#This Row],[origin.value]]),0),1),"")</f>
        <v>non isolé</v>
      </c>
      <c r="F102" s="2" t="s">
        <v>999</v>
      </c>
      <c r="G102" s="1" t="s">
        <v>938</v>
      </c>
      <c r="H102" s="6" t="str">
        <f t="shared" si="1"/>
        <v/>
      </c>
    </row>
    <row r="103" spans="1:8" x14ac:dyDescent="0.3">
      <c r="A103" s="6" t="s">
        <v>988</v>
      </c>
      <c r="B103" s="2" t="s">
        <v>984</v>
      </c>
      <c r="C103" s="1">
        <v>3</v>
      </c>
      <c r="D103" s="12" t="str">
        <f>IFERROR(SUBSTITUTE(_xlfn.TEXTAFTER(correspondance[[#This Row],[origin.path]],"enum_"),"_id",""),"")</f>
        <v>type_isolation</v>
      </c>
      <c r="E103" s="12" t="str" cm="1">
        <f t="array" ref="E103">IFERROR(INDEX(enums[lib],MATCH(1,(enums[enum]=correspondance[[#This Row],[origin.enum]])*(enums[value]=correspondance[[#This Row],[origin.value]]),0),1),"")</f>
        <v>iti</v>
      </c>
      <c r="F103" s="2" t="s">
        <v>999</v>
      </c>
      <c r="G103" s="1" t="s">
        <v>265</v>
      </c>
      <c r="H103" s="6" t="str">
        <f t="shared" si="1"/>
        <v>iti</v>
      </c>
    </row>
    <row r="104" spans="1:8" x14ac:dyDescent="0.3">
      <c r="A104" s="6" t="s">
        <v>988</v>
      </c>
      <c r="B104" s="2" t="s">
        <v>984</v>
      </c>
      <c r="C104" s="1">
        <v>4</v>
      </c>
      <c r="D104" s="12" t="str">
        <f>IFERROR(SUBSTITUTE(_xlfn.TEXTAFTER(correspondance[[#This Row],[origin.path]],"enum_"),"_id",""),"")</f>
        <v>type_isolation</v>
      </c>
      <c r="E104" s="12" t="str" cm="1">
        <f t="array" ref="E104">IFERROR(INDEX(enums[lib],MATCH(1,(enums[enum]=correspondance[[#This Row],[origin.enum]])*(enums[value]=correspondance[[#This Row],[origin.value]]),0),1),"")</f>
        <v>ite</v>
      </c>
      <c r="F104" s="2" t="s">
        <v>999</v>
      </c>
      <c r="G104" s="1" t="s">
        <v>266</v>
      </c>
      <c r="H104" s="6" t="str">
        <f t="shared" si="1"/>
        <v>ite</v>
      </c>
    </row>
    <row r="105" spans="1:8" x14ac:dyDescent="0.3">
      <c r="A105" s="6" t="s">
        <v>988</v>
      </c>
      <c r="B105" s="2" t="s">
        <v>984</v>
      </c>
      <c r="C105" s="1">
        <v>5</v>
      </c>
      <c r="D105" s="12" t="str">
        <f>IFERROR(SUBSTITUTE(_xlfn.TEXTAFTER(correspondance[[#This Row],[origin.path]],"enum_"),"_id",""),"")</f>
        <v>type_isolation</v>
      </c>
      <c r="E105" s="12" t="str" cm="1">
        <f t="array" ref="E105">IFERROR(INDEX(enums[lib],MATCH(1,(enums[enum]=correspondance[[#This Row],[origin.enum]])*(enums[value]=correspondance[[#This Row],[origin.value]]),0),1),"")</f>
        <v>itr</v>
      </c>
      <c r="F105" s="2" t="s">
        <v>999</v>
      </c>
      <c r="G105" s="1" t="s">
        <v>267</v>
      </c>
      <c r="H105" s="6" t="str">
        <f t="shared" si="1"/>
        <v>itr</v>
      </c>
    </row>
    <row r="106" spans="1:8" x14ac:dyDescent="0.3">
      <c r="A106" s="6" t="s">
        <v>988</v>
      </c>
      <c r="B106" s="2" t="s">
        <v>984</v>
      </c>
      <c r="C106" s="1">
        <v>6</v>
      </c>
      <c r="D106" s="12" t="str">
        <f>IFERROR(SUBSTITUTE(_xlfn.TEXTAFTER(correspondance[[#This Row],[origin.path]],"enum_"),"_id",""),"")</f>
        <v>type_isolation</v>
      </c>
      <c r="E106" s="12" t="str" cm="1">
        <f t="array" ref="E106">IFERROR(INDEX(enums[lib],MATCH(1,(enums[enum]=correspondance[[#This Row],[origin.enum]])*(enums[value]=correspondance[[#This Row],[origin.value]]),0),1),"")</f>
        <v>iti+ite</v>
      </c>
      <c r="F106" s="2" t="s">
        <v>999</v>
      </c>
      <c r="G106" s="1" t="s">
        <v>1006</v>
      </c>
      <c r="H106" s="6" t="str">
        <f t="shared" si="1"/>
        <v>iti_ite</v>
      </c>
    </row>
    <row r="107" spans="1:8" x14ac:dyDescent="0.3">
      <c r="A107" s="6" t="s">
        <v>988</v>
      </c>
      <c r="B107" s="2" t="s">
        <v>984</v>
      </c>
      <c r="C107" s="1">
        <v>7</v>
      </c>
      <c r="D107" s="12" t="str">
        <f>IFERROR(SUBSTITUTE(_xlfn.TEXTAFTER(correspondance[[#This Row],[origin.path]],"enum_"),"_id",""),"")</f>
        <v>type_isolation</v>
      </c>
      <c r="E107" s="12" t="str" cm="1">
        <f t="array" ref="E107">IFERROR(INDEX(enums[lib],MATCH(1,(enums[enum]=correspondance[[#This Row],[origin.enum]])*(enums[value]=correspondance[[#This Row],[origin.value]]),0),1),"")</f>
        <v>iti+itr</v>
      </c>
      <c r="F107" s="2" t="s">
        <v>999</v>
      </c>
      <c r="G107" s="1" t="s">
        <v>1007</v>
      </c>
      <c r="H107" s="6" t="str">
        <f t="shared" si="1"/>
        <v>itr_iti</v>
      </c>
    </row>
    <row r="108" spans="1:8" x14ac:dyDescent="0.3">
      <c r="A108" s="6" t="s">
        <v>988</v>
      </c>
      <c r="B108" s="2" t="s">
        <v>984</v>
      </c>
      <c r="C108" s="1">
        <v>8</v>
      </c>
      <c r="D108" s="12" t="str">
        <f>IFERROR(SUBSTITUTE(_xlfn.TEXTAFTER(correspondance[[#This Row],[origin.path]],"enum_"),"_id",""),"")</f>
        <v>type_isolation</v>
      </c>
      <c r="E108" s="12" t="str" cm="1">
        <f t="array" ref="E108">IFERROR(INDEX(enums[lib],MATCH(1,(enums[enum]=correspondance[[#This Row],[origin.enum]])*(enums[value]=correspondance[[#This Row],[origin.value]]),0),1),"")</f>
        <v>ite+itr</v>
      </c>
      <c r="F108" s="2" t="s">
        <v>999</v>
      </c>
      <c r="G108" s="1" t="s">
        <v>1008</v>
      </c>
      <c r="H108" s="6" t="str">
        <f t="shared" si="1"/>
        <v>itr_ite</v>
      </c>
    </row>
    <row r="109" spans="1:8" x14ac:dyDescent="0.3">
      <c r="A109" s="6" t="s">
        <v>988</v>
      </c>
      <c r="B109" s="2" t="s">
        <v>984</v>
      </c>
      <c r="C109" s="1">
        <v>9</v>
      </c>
      <c r="D109" s="12" t="str">
        <f>IFERROR(SUBSTITUTE(_xlfn.TEXTAFTER(correspondance[[#This Row],[origin.path]],"enum_"),"_id",""),"")</f>
        <v>type_isolation</v>
      </c>
      <c r="E109" s="12" t="str" cm="1">
        <f t="array" ref="E109">IFERROR(INDEX(enums[lib],MATCH(1,(enums[enum]=correspondance[[#This Row],[origin.enum]])*(enums[value]=correspondance[[#This Row],[origin.value]]),0),1),"")</f>
        <v>isolé mais type d'isolation inconnu</v>
      </c>
      <c r="F109" s="2" t="s">
        <v>999</v>
      </c>
      <c r="G109" s="1"/>
      <c r="H109" s="6" t="str">
        <f t="shared" si="1"/>
        <v/>
      </c>
    </row>
    <row r="110" spans="1:8" x14ac:dyDescent="0.3">
      <c r="A110" s="6" t="s">
        <v>988</v>
      </c>
      <c r="B110" s="2" t="s">
        <v>978</v>
      </c>
      <c r="C110" s="1">
        <v>1</v>
      </c>
      <c r="D110" s="12" t="str">
        <f>IFERROR(SUBSTITUTE(_xlfn.TEXTAFTER(correspondance[[#This Row],[origin.path]],"enum_"),"_id",""),"")</f>
        <v>type_plancher_haut</v>
      </c>
      <c r="E110" s="12" t="str" cm="1">
        <f t="array" ref="E110">IFERROR(INDEX(enums[lib],MATCH(1,(enums[enum]=correspondance[[#This Row],[origin.enum]])*(enums[value]=correspondance[[#This Row],[origin.value]]),0),1),"")</f>
        <v>inconnu</v>
      </c>
      <c r="F110" s="2" t="s">
        <v>1005</v>
      </c>
      <c r="G110" s="1"/>
      <c r="H110" s="6" t="str">
        <f t="shared" si="1"/>
        <v/>
      </c>
    </row>
    <row r="111" spans="1:8" x14ac:dyDescent="0.3">
      <c r="A111" s="6" t="s">
        <v>988</v>
      </c>
      <c r="B111" s="2" t="s">
        <v>978</v>
      </c>
      <c r="C111" s="1">
        <v>2</v>
      </c>
      <c r="D111" s="12" t="str">
        <f>IFERROR(SUBSTITUTE(_xlfn.TEXTAFTER(correspondance[[#This Row],[origin.path]],"enum_"),"_id",""),"")</f>
        <v>type_plancher_haut</v>
      </c>
      <c r="E111" s="12" t="str" cm="1">
        <f t="array" ref="E111">IFERROR(INDEX(enums[lib],MATCH(1,(enums[enum]=correspondance[[#This Row],[origin.enum]])*(enums[value]=correspondance[[#This Row],[origin.value]]),0),1),"")</f>
        <v>plafond avec ou sans remplissage</v>
      </c>
      <c r="F111" s="2" t="s">
        <v>1005</v>
      </c>
      <c r="G111" s="1" t="s">
        <v>1009</v>
      </c>
      <c r="H111" s="6" t="str">
        <f t="shared" si="1"/>
        <v>plafond_avec_ou_sans_remplissage</v>
      </c>
    </row>
    <row r="112" spans="1:8" x14ac:dyDescent="0.3">
      <c r="A112" s="6" t="s">
        <v>988</v>
      </c>
      <c r="B112" s="2" t="s">
        <v>978</v>
      </c>
      <c r="C112" s="1">
        <v>3</v>
      </c>
      <c r="D112" s="12" t="str">
        <f>IFERROR(SUBSTITUTE(_xlfn.TEXTAFTER(correspondance[[#This Row],[origin.path]],"enum_"),"_id",""),"")</f>
        <v>type_plancher_haut</v>
      </c>
      <c r="E112" s="12" t="str" cm="1">
        <f t="array" ref="E112">IFERROR(INDEX(enums[lib],MATCH(1,(enums[enum]=correspondance[[#This Row],[origin.enum]])*(enums[value]=correspondance[[#This Row],[origin.value]]),0),1),"")</f>
        <v>plafond entre solives métalliques avec ou sans remplissage</v>
      </c>
      <c r="F112" s="2" t="s">
        <v>1005</v>
      </c>
      <c r="G112" s="1" t="s">
        <v>1010</v>
      </c>
      <c r="H112" s="6" t="str">
        <f t="shared" si="1"/>
        <v>plafond_entre_solives_metalliques</v>
      </c>
    </row>
    <row r="113" spans="1:8" x14ac:dyDescent="0.3">
      <c r="A113" s="6" t="s">
        <v>988</v>
      </c>
      <c r="B113" s="2" t="s">
        <v>978</v>
      </c>
      <c r="C113" s="1">
        <v>4</v>
      </c>
      <c r="D113" s="12" t="str">
        <f>IFERROR(SUBSTITUTE(_xlfn.TEXTAFTER(correspondance[[#This Row],[origin.path]],"enum_"),"_id",""),"")</f>
        <v>type_plancher_haut</v>
      </c>
      <c r="E113" s="12" t="str" cm="1">
        <f t="array" ref="E113">IFERROR(INDEX(enums[lib],MATCH(1,(enums[enum]=correspondance[[#This Row],[origin.enum]])*(enums[value]=correspondance[[#This Row],[origin.value]]),0),1),"")</f>
        <v>plafond entre solives bois avec ou sans remplissage</v>
      </c>
      <c r="F113" s="2" t="s">
        <v>1005</v>
      </c>
      <c r="G113" s="1" t="s">
        <v>1011</v>
      </c>
      <c r="H113" s="6" t="str">
        <f t="shared" si="1"/>
        <v>plafond_entre_solives_bois</v>
      </c>
    </row>
    <row r="114" spans="1:8" x14ac:dyDescent="0.3">
      <c r="A114" s="6" t="s">
        <v>988</v>
      </c>
      <c r="B114" s="2" t="s">
        <v>978</v>
      </c>
      <c r="C114" s="1">
        <v>5</v>
      </c>
      <c r="D114" s="12" t="str">
        <f>IFERROR(SUBSTITUTE(_xlfn.TEXTAFTER(correspondance[[#This Row],[origin.path]],"enum_"),"_id",""),"")</f>
        <v>type_plancher_haut</v>
      </c>
      <c r="E114" s="12" t="str" cm="1">
        <f t="array" ref="E114">IFERROR(INDEX(enums[lib],MATCH(1,(enums[enum]=correspondance[[#This Row],[origin.enum]])*(enums[value]=correspondance[[#This Row],[origin.value]]),0),1),"")</f>
        <v>plafond bois sur solives métalliques</v>
      </c>
      <c r="F114" s="2" t="s">
        <v>1005</v>
      </c>
      <c r="G114" s="1" t="s">
        <v>1012</v>
      </c>
      <c r="H114" s="6" t="str">
        <f t="shared" si="1"/>
        <v>plafond_bois_sur_solives_metalliques</v>
      </c>
    </row>
    <row r="115" spans="1:8" x14ac:dyDescent="0.3">
      <c r="A115" s="6" t="s">
        <v>988</v>
      </c>
      <c r="B115" s="2" t="s">
        <v>978</v>
      </c>
      <c r="C115" s="1">
        <v>6</v>
      </c>
      <c r="D115" s="12" t="str">
        <f>IFERROR(SUBSTITUTE(_xlfn.TEXTAFTER(correspondance[[#This Row],[origin.path]],"enum_"),"_id",""),"")</f>
        <v>type_plancher_haut</v>
      </c>
      <c r="E115" s="12" t="str" cm="1">
        <f t="array" ref="E115">IFERROR(INDEX(enums[lib],MATCH(1,(enums[enum]=correspondance[[#This Row],[origin.enum]])*(enums[value]=correspondance[[#This Row],[origin.value]]),0),1),"")</f>
        <v>plafond bois sous solives métalliques</v>
      </c>
      <c r="F115" s="2" t="s">
        <v>1005</v>
      </c>
      <c r="G115" s="1" t="s">
        <v>1013</v>
      </c>
      <c r="H115" s="6" t="str">
        <f t="shared" si="1"/>
        <v>plafond_bois_sous_solives_metalliques</v>
      </c>
    </row>
    <row r="116" spans="1:8" x14ac:dyDescent="0.3">
      <c r="A116" s="6" t="s">
        <v>988</v>
      </c>
      <c r="B116" s="2" t="s">
        <v>978</v>
      </c>
      <c r="C116" s="1">
        <v>7</v>
      </c>
      <c r="D116" s="12" t="str">
        <f>IFERROR(SUBSTITUTE(_xlfn.TEXTAFTER(correspondance[[#This Row],[origin.path]],"enum_"),"_id",""),"")</f>
        <v>type_plancher_haut</v>
      </c>
      <c r="E116" s="12" t="str" cm="1">
        <f t="array" ref="E116">IFERROR(INDEX(enums[lib],MATCH(1,(enums[enum]=correspondance[[#This Row],[origin.enum]])*(enums[value]=correspondance[[#This Row],[origin.value]]),0),1),"")</f>
        <v>bardeaux et remplissage</v>
      </c>
      <c r="F116" s="2" t="s">
        <v>1005</v>
      </c>
      <c r="G116" s="1" t="s">
        <v>1014</v>
      </c>
      <c r="H116" s="6" t="str">
        <f t="shared" si="1"/>
        <v>bardeaux_et_remplissage</v>
      </c>
    </row>
    <row r="117" spans="1:8" x14ac:dyDescent="0.3">
      <c r="A117" s="6" t="s">
        <v>988</v>
      </c>
      <c r="B117" s="2" t="s">
        <v>978</v>
      </c>
      <c r="C117" s="1">
        <v>9</v>
      </c>
      <c r="D117" s="12" t="str">
        <f>IFERROR(SUBSTITUTE(_xlfn.TEXTAFTER(correspondance[[#This Row],[origin.path]],"enum_"),"_id",""),"")</f>
        <v>type_plancher_haut</v>
      </c>
      <c r="E117" s="12" t="str" cm="1">
        <f t="array" ref="E117">IFERROR(INDEX(enums[lib],MATCH(1,(enums[enum]=correspondance[[#This Row],[origin.enum]])*(enums[value]=correspondance[[#This Row],[origin.value]]),0),1),"")</f>
        <v>plafond bois sur solives bois</v>
      </c>
      <c r="F117" s="2" t="s">
        <v>1005</v>
      </c>
      <c r="G117" s="1" t="s">
        <v>1015</v>
      </c>
      <c r="H117" s="6" t="str">
        <f t="shared" si="1"/>
        <v>plafond_bois_sur_solives_bois</v>
      </c>
    </row>
    <row r="118" spans="1:8" x14ac:dyDescent="0.3">
      <c r="A118" s="6" t="s">
        <v>988</v>
      </c>
      <c r="B118" s="2" t="s">
        <v>978</v>
      </c>
      <c r="C118" s="1">
        <v>10</v>
      </c>
      <c r="D118" s="12" t="str">
        <f>IFERROR(SUBSTITUTE(_xlfn.TEXTAFTER(correspondance[[#This Row],[origin.path]],"enum_"),"_id",""),"")</f>
        <v>type_plancher_haut</v>
      </c>
      <c r="E118" s="12" t="str" cm="1">
        <f t="array" ref="E118">IFERROR(INDEX(enums[lib],MATCH(1,(enums[enum]=correspondance[[#This Row],[origin.enum]])*(enums[value]=correspondance[[#This Row],[origin.value]]),0),1),"")</f>
        <v>plafond bois sous solives bois</v>
      </c>
      <c r="F118" s="2" t="s">
        <v>1005</v>
      </c>
      <c r="G118" s="1" t="s">
        <v>1016</v>
      </c>
      <c r="H118" s="6" t="str">
        <f t="shared" si="1"/>
        <v>plafond_bois_sous_solives_bois</v>
      </c>
    </row>
    <row r="119" spans="1:8" x14ac:dyDescent="0.3">
      <c r="A119" s="6" t="s">
        <v>988</v>
      </c>
      <c r="B119" s="2" t="s">
        <v>978</v>
      </c>
      <c r="C119" s="1">
        <v>8</v>
      </c>
      <c r="D119" s="12" t="str">
        <f>IFERROR(SUBSTITUTE(_xlfn.TEXTAFTER(correspondance[[#This Row],[origin.path]],"enum_"),"_id",""),"")</f>
        <v>type_plancher_haut</v>
      </c>
      <c r="E119" s="12" t="str" cm="1">
        <f t="array" ref="E119">IFERROR(INDEX(enums[lib],MATCH(1,(enums[enum]=correspondance[[#This Row],[origin.enum]])*(enums[value]=correspondance[[#This Row],[origin.value]]),0),1),"")</f>
        <v>dalle béton</v>
      </c>
      <c r="F119" s="2" t="s">
        <v>1005</v>
      </c>
      <c r="G119" s="1" t="s">
        <v>1017</v>
      </c>
      <c r="H119" s="6" t="str">
        <f t="shared" si="1"/>
        <v>dalle_beton</v>
      </c>
    </row>
    <row r="120" spans="1:8" x14ac:dyDescent="0.3">
      <c r="A120" s="6" t="s">
        <v>988</v>
      </c>
      <c r="B120" s="2" t="s">
        <v>978</v>
      </c>
      <c r="C120" s="1">
        <v>11</v>
      </c>
      <c r="D120" s="12" t="str">
        <f>IFERROR(SUBSTITUTE(_xlfn.TEXTAFTER(correspondance[[#This Row],[origin.path]],"enum_"),"_id",""),"")</f>
        <v>type_plancher_haut</v>
      </c>
      <c r="E120" s="12" t="str" cm="1">
        <f t="array" ref="E120">IFERROR(INDEX(enums[lib],MATCH(1,(enums[enum]=correspondance[[#This Row],[origin.enum]])*(enums[value]=correspondance[[#This Row],[origin.value]]),0),1),"")</f>
        <v>plafond lourd type entrevous terre-cuite, poutrelles béton</v>
      </c>
      <c r="F120" s="2" t="s">
        <v>1005</v>
      </c>
      <c r="G120" s="1" t="s">
        <v>1018</v>
      </c>
      <c r="H120" s="6" t="str">
        <f t="shared" si="1"/>
        <v>plafond_lourd</v>
      </c>
    </row>
    <row r="121" spans="1:8" x14ac:dyDescent="0.3">
      <c r="A121" s="6" t="s">
        <v>988</v>
      </c>
      <c r="B121" s="2" t="s">
        <v>978</v>
      </c>
      <c r="C121" s="1">
        <v>12</v>
      </c>
      <c r="D121" s="12" t="str">
        <f>IFERROR(SUBSTITUTE(_xlfn.TEXTAFTER(correspondance[[#This Row],[origin.path]],"enum_"),"_id",""),"")</f>
        <v>type_plancher_haut</v>
      </c>
      <c r="E121" s="12" t="str" cm="1">
        <f t="array" ref="E121">IFERROR(INDEX(enums[lib],MATCH(1,(enums[enum]=correspondance[[#This Row],[origin.enum]])*(enums[value]=correspondance[[#This Row],[origin.value]]),0),1),"")</f>
        <v>combles aménagés sous rampant</v>
      </c>
      <c r="F121" s="2" t="s">
        <v>1005</v>
      </c>
      <c r="G121" s="1" t="s">
        <v>1019</v>
      </c>
      <c r="H121" s="6" t="str">
        <f t="shared" si="1"/>
        <v>combles_amenages_sous_rampant</v>
      </c>
    </row>
    <row r="122" spans="1:8" x14ac:dyDescent="0.3">
      <c r="A122" s="6" t="s">
        <v>988</v>
      </c>
      <c r="B122" s="2" t="s">
        <v>978</v>
      </c>
      <c r="C122" s="1">
        <v>13</v>
      </c>
      <c r="D122" s="12" t="str">
        <f>IFERROR(SUBSTITUTE(_xlfn.TEXTAFTER(correspondance[[#This Row],[origin.path]],"enum_"),"_id",""),"")</f>
        <v>type_plancher_haut</v>
      </c>
      <c r="E122" s="12" t="str" cm="1">
        <f t="array" ref="E122">IFERROR(INDEX(enums[lib],MATCH(1,(enums[enum]=correspondance[[#This Row],[origin.enum]])*(enums[value]=correspondance[[#This Row],[origin.value]]),0),1),"")</f>
        <v>toiture en chaume</v>
      </c>
      <c r="F122" s="2" t="s">
        <v>1005</v>
      </c>
      <c r="G122" s="1" t="s">
        <v>1020</v>
      </c>
      <c r="H122" s="6" t="str">
        <f t="shared" si="1"/>
        <v>toiture_chaume</v>
      </c>
    </row>
    <row r="123" spans="1:8" x14ac:dyDescent="0.3">
      <c r="A123" s="6" t="s">
        <v>988</v>
      </c>
      <c r="B123" s="2" t="s">
        <v>978</v>
      </c>
      <c r="C123" s="1">
        <v>14</v>
      </c>
      <c r="D123" s="12" t="str">
        <f>IFERROR(SUBSTITUTE(_xlfn.TEXTAFTER(correspondance[[#This Row],[origin.path]],"enum_"),"_id",""),"")</f>
        <v>type_plancher_haut</v>
      </c>
      <c r="E123" s="12" t="str" cm="1">
        <f t="array" ref="E123">IFERROR(INDEX(enums[lib],MATCH(1,(enums[enum]=correspondance[[#This Row],[origin.enum]])*(enums[value]=correspondance[[#This Row],[origin.value]]),0),1),"")</f>
        <v>plafond en plaque de plâtre</v>
      </c>
      <c r="F123" s="2" t="s">
        <v>1005</v>
      </c>
      <c r="G123" s="1" t="s">
        <v>1021</v>
      </c>
      <c r="H123" s="6" t="str">
        <f t="shared" si="1"/>
        <v>plafond_patre</v>
      </c>
    </row>
    <row r="124" spans="1:8" x14ac:dyDescent="0.3">
      <c r="A124" s="6" t="s">
        <v>988</v>
      </c>
      <c r="B124" s="2" t="s">
        <v>978</v>
      </c>
      <c r="C124" s="1">
        <v>16</v>
      </c>
      <c r="D124" s="12" t="str">
        <f>IFERROR(SUBSTITUTE(_xlfn.TEXTAFTER(correspondance[[#This Row],[origin.path]],"enum_"),"_id",""),"")</f>
        <v>type_plancher_haut</v>
      </c>
      <c r="E124" s="12" t="str" cm="1">
        <f t="array" ref="E124">IFERROR(INDEX(enums[lib],MATCH(1,(enums[enum]=correspondance[[#This Row],[origin.enum]])*(enums[value]=correspondance[[#This Row],[origin.value]]),0),1),"")</f>
        <v>toitures en bac acier</v>
      </c>
      <c r="F124" s="2" t="s">
        <v>1005</v>
      </c>
      <c r="G124" s="1" t="s">
        <v>1022</v>
      </c>
      <c r="H124" s="6" t="str">
        <f t="shared" si="1"/>
        <v>bac_acier</v>
      </c>
    </row>
    <row r="125" spans="1:8" x14ac:dyDescent="0.3">
      <c r="A125" s="6" t="s">
        <v>988</v>
      </c>
      <c r="B125" s="2" t="s">
        <v>978</v>
      </c>
      <c r="C125" s="1">
        <v>15</v>
      </c>
      <c r="D125" s="12" t="str">
        <f>IFERROR(SUBSTITUTE(_xlfn.TEXTAFTER(correspondance[[#This Row],[origin.path]],"enum_"),"_id",""),"")</f>
        <v>type_plancher_haut</v>
      </c>
      <c r="E125" s="12" t="str" cm="1">
        <f t="array" ref="E125">IFERROR(INDEX(enums[lib],MATCH(1,(enums[enum]=correspondance[[#This Row],[origin.enum]])*(enums[value]=correspondance[[#This Row],[origin.value]]),0),1),"")</f>
        <v>autre type de plafond non répertorié</v>
      </c>
      <c r="F125" s="2" t="s">
        <v>1005</v>
      </c>
      <c r="G125" s="1" t="s">
        <v>938</v>
      </c>
      <c r="H125" s="6" t="str">
        <f t="shared" si="1"/>
        <v/>
      </c>
    </row>
    <row r="126" spans="1:8" x14ac:dyDescent="0.3">
      <c r="A126" s="6" t="s">
        <v>988</v>
      </c>
      <c r="B126" s="2" t="s">
        <v>983</v>
      </c>
      <c r="C126" s="1">
        <v>1</v>
      </c>
      <c r="D126" s="12" t="str">
        <f>IFERROR(SUBSTITUTE(_xlfn.TEXTAFTER(correspondance[[#This Row],[origin.path]],"enum_"),"_id",""),"")</f>
        <v>type_adjacence</v>
      </c>
      <c r="E126" s="12" t="str" cm="1">
        <f t="array" ref="E126">IFERROR(INDEX(enums[lib],MATCH(1,(enums[enum]=correspondance[[#This Row],[origin.enum]])*(enums[value]=correspondance[[#This Row],[origin.value]]),0),1),"")</f>
        <v>extérieur</v>
      </c>
      <c r="F126" s="2" t="s">
        <v>997</v>
      </c>
      <c r="G126" s="1" t="s">
        <v>1023</v>
      </c>
      <c r="H126" s="6" t="str">
        <f t="shared" si="1"/>
        <v>exterieur</v>
      </c>
    </row>
    <row r="127" spans="1:8" x14ac:dyDescent="0.3">
      <c r="A127" s="6" t="s">
        <v>988</v>
      </c>
      <c r="B127" s="2" t="s">
        <v>983</v>
      </c>
      <c r="C127" s="1">
        <v>2</v>
      </c>
      <c r="D127" s="12" t="str">
        <f>IFERROR(SUBSTITUTE(_xlfn.TEXTAFTER(correspondance[[#This Row],[origin.path]],"enum_"),"_id",""),"")</f>
        <v>type_adjacence</v>
      </c>
      <c r="E127" s="12" t="str" cm="1">
        <f t="array" ref="E127">IFERROR(INDEX(enums[lib],MATCH(1,(enums[enum]=correspondance[[#This Row],[origin.enum]])*(enums[value]=correspondance[[#This Row],[origin.value]]),0),1),"")</f>
        <v>paroi enterrée</v>
      </c>
      <c r="F127" s="2" t="s">
        <v>997</v>
      </c>
      <c r="G127" s="1" t="s">
        <v>1024</v>
      </c>
      <c r="H127" s="6" t="str">
        <f t="shared" si="1"/>
        <v>enterre</v>
      </c>
    </row>
    <row r="128" spans="1:8" x14ac:dyDescent="0.3">
      <c r="A128" s="6" t="s">
        <v>988</v>
      </c>
      <c r="B128" s="2" t="s">
        <v>983</v>
      </c>
      <c r="C128" s="1">
        <v>3</v>
      </c>
      <c r="D128" s="12" t="str">
        <f>IFERROR(SUBSTITUTE(_xlfn.TEXTAFTER(correspondance[[#This Row],[origin.path]],"enum_"),"_id",""),"")</f>
        <v>type_adjacence</v>
      </c>
      <c r="E128" s="12" t="str" cm="1">
        <f t="array" ref="E128">IFERROR(INDEX(enums[lib],MATCH(1,(enums[enum]=correspondance[[#This Row],[origin.enum]])*(enums[value]=correspondance[[#This Row],[origin.value]]),0),1),"")</f>
        <v>vide sanitaire</v>
      </c>
      <c r="F128" s="2" t="s">
        <v>997</v>
      </c>
      <c r="G128" s="1" t="s">
        <v>1025</v>
      </c>
      <c r="H128" s="6" t="str">
        <f t="shared" si="1"/>
        <v>vide_sanitaire</v>
      </c>
    </row>
    <row r="129" spans="1:8" x14ac:dyDescent="0.3">
      <c r="A129" s="6" t="s">
        <v>988</v>
      </c>
      <c r="B129" s="2" t="s">
        <v>983</v>
      </c>
      <c r="C129" s="1">
        <v>4</v>
      </c>
      <c r="D129" s="12" t="str">
        <f>IFERROR(SUBSTITUTE(_xlfn.TEXTAFTER(correspondance[[#This Row],[origin.path]],"enum_"),"_id",""),"")</f>
        <v>type_adjacence</v>
      </c>
      <c r="E129" s="12" t="str" cm="1">
        <f t="array" ref="E129">IFERROR(INDEX(enums[lib],MATCH(1,(enums[enum]=correspondance[[#This Row],[origin.enum]])*(enums[value]=correspondance[[#This Row],[origin.value]]),0),1),"")</f>
        <v>bâtiment ou local à usage autre que d'habitation</v>
      </c>
      <c r="F129" s="2" t="s">
        <v>997</v>
      </c>
      <c r="G129" s="1" t="s">
        <v>1026</v>
      </c>
      <c r="H129" s="6" t="str">
        <f t="shared" si="1"/>
        <v>local_non_residentiel</v>
      </c>
    </row>
    <row r="130" spans="1:8" x14ac:dyDescent="0.3">
      <c r="A130" s="6" t="s">
        <v>988</v>
      </c>
      <c r="B130" s="2" t="s">
        <v>983</v>
      </c>
      <c r="C130" s="1">
        <v>5</v>
      </c>
      <c r="D130" s="12" t="str">
        <f>IFERROR(SUBSTITUTE(_xlfn.TEXTAFTER(correspondance[[#This Row],[origin.path]],"enum_"),"_id",""),"")</f>
        <v>type_adjacence</v>
      </c>
      <c r="E130" s="12" t="str" cm="1">
        <f t="array" ref="E130">IFERROR(INDEX(enums[lib],MATCH(1,(enums[enum]=correspondance[[#This Row],[origin.enum]])*(enums[value]=correspondance[[#This Row],[origin.value]]),0),1),"")</f>
        <v>terre-plein</v>
      </c>
      <c r="F130" s="2" t="s">
        <v>997</v>
      </c>
      <c r="G130" s="1" t="s">
        <v>1024</v>
      </c>
      <c r="H130" s="6" t="str">
        <f t="shared" ref="H130:H193" si="2">LOWER(G130)</f>
        <v>enterre</v>
      </c>
    </row>
    <row r="131" spans="1:8" x14ac:dyDescent="0.3">
      <c r="A131" s="6" t="s">
        <v>988</v>
      </c>
      <c r="B131" s="2" t="s">
        <v>983</v>
      </c>
      <c r="C131" s="1">
        <v>6</v>
      </c>
      <c r="D131" s="12" t="str">
        <f>IFERROR(SUBSTITUTE(_xlfn.TEXTAFTER(correspondance[[#This Row],[origin.path]],"enum_"),"_id",""),"")</f>
        <v>type_adjacence</v>
      </c>
      <c r="E131" s="12" t="str" cm="1">
        <f t="array" ref="E131">IFERROR(INDEX(enums[lib],MATCH(1,(enums[enum]=correspondance[[#This Row],[origin.enum]])*(enums[value]=correspondance[[#This Row],[origin.value]]),0),1),"")</f>
        <v>sous-sol non chauffé</v>
      </c>
      <c r="F131" s="2" t="s">
        <v>997</v>
      </c>
      <c r="G131" s="1" t="s">
        <v>1027</v>
      </c>
      <c r="H131" s="6" t="str">
        <f t="shared" si="2"/>
        <v>sous_sol_non_chauffe</v>
      </c>
    </row>
    <row r="132" spans="1:8" x14ac:dyDescent="0.3">
      <c r="A132" s="6" t="s">
        <v>988</v>
      </c>
      <c r="B132" s="2" t="s">
        <v>983</v>
      </c>
      <c r="C132" s="1">
        <v>7</v>
      </c>
      <c r="D132" s="12" t="str">
        <f>IFERROR(SUBSTITUTE(_xlfn.TEXTAFTER(correspondance[[#This Row],[origin.path]],"enum_"),"_id",""),"")</f>
        <v>type_adjacence</v>
      </c>
      <c r="E132" s="12" t="str" cm="1">
        <f t="array" ref="E132">IFERROR(INDEX(enums[lib],MATCH(1,(enums[enum]=correspondance[[#This Row],[origin.enum]])*(enums[value]=correspondance[[#This Row],[origin.value]]),0),1),"")</f>
        <v>locaux non chauffés non accessible</v>
      </c>
      <c r="F132" s="2" t="s">
        <v>997</v>
      </c>
      <c r="G132" s="1" t="s">
        <v>1028</v>
      </c>
      <c r="H132" s="6" t="str">
        <f t="shared" si="2"/>
        <v>local_non_accessible</v>
      </c>
    </row>
    <row r="133" spans="1:8" x14ac:dyDescent="0.3">
      <c r="A133" s="6" t="s">
        <v>988</v>
      </c>
      <c r="B133" s="2" t="s">
        <v>983</v>
      </c>
      <c r="C133" s="1">
        <v>8</v>
      </c>
      <c r="D133" s="12" t="str">
        <f>IFERROR(SUBSTITUTE(_xlfn.TEXTAFTER(correspondance[[#This Row],[origin.path]],"enum_"),"_id",""),"")</f>
        <v>type_adjacence</v>
      </c>
      <c r="E133" s="12" t="str" cm="1">
        <f t="array" ref="E133">IFERROR(INDEX(enums[lib],MATCH(1,(enums[enum]=correspondance[[#This Row],[origin.enum]])*(enums[value]=correspondance[[#This Row],[origin.value]]),0),1),"")</f>
        <v>garage</v>
      </c>
      <c r="F133" s="2" t="s">
        <v>997</v>
      </c>
      <c r="G133" s="1" t="s">
        <v>1029</v>
      </c>
      <c r="H133" s="6" t="str">
        <f t="shared" si="2"/>
        <v>local_non_chauffe</v>
      </c>
    </row>
    <row r="134" spans="1:8" x14ac:dyDescent="0.3">
      <c r="A134" s="6" t="s">
        <v>988</v>
      </c>
      <c r="B134" s="2" t="s">
        <v>983</v>
      </c>
      <c r="C134" s="1">
        <v>9</v>
      </c>
      <c r="D134" s="12" t="str">
        <f>IFERROR(SUBSTITUTE(_xlfn.TEXTAFTER(correspondance[[#This Row],[origin.path]],"enum_"),"_id",""),"")</f>
        <v>type_adjacence</v>
      </c>
      <c r="E134" s="12" t="str" cm="1">
        <f t="array" ref="E134">IFERROR(INDEX(enums[lib],MATCH(1,(enums[enum]=correspondance[[#This Row],[origin.enum]])*(enums[value]=correspondance[[#This Row],[origin.value]]),0),1),"")</f>
        <v>cellier</v>
      </c>
      <c r="F134" s="2" t="s">
        <v>997</v>
      </c>
      <c r="G134" s="1" t="s">
        <v>1029</v>
      </c>
      <c r="H134" s="6" t="str">
        <f t="shared" si="2"/>
        <v>local_non_chauffe</v>
      </c>
    </row>
    <row r="135" spans="1:8" x14ac:dyDescent="0.3">
      <c r="A135" s="6" t="s">
        <v>988</v>
      </c>
      <c r="B135" s="2" t="s">
        <v>983</v>
      </c>
      <c r="C135" s="1">
        <v>10</v>
      </c>
      <c r="D135" s="12" t="str">
        <f>IFERROR(SUBSTITUTE(_xlfn.TEXTAFTER(correspondance[[#This Row],[origin.path]],"enum_"),"_id",""),"")</f>
        <v>type_adjacence</v>
      </c>
      <c r="E135" s="12" t="str" cm="1">
        <f t="array" ref="E135">IFERROR(INDEX(enums[lib],MATCH(1,(enums[enum]=correspondance[[#This Row],[origin.enum]])*(enums[value]=correspondance[[#This Row],[origin.value]]),0),1),"")</f>
        <v>espace tampon solarisé (véranda,loggia fermée)</v>
      </c>
      <c r="F135" s="2" t="s">
        <v>997</v>
      </c>
      <c r="G135" s="1" t="s">
        <v>1029</v>
      </c>
      <c r="H135" s="6" t="str">
        <f t="shared" si="2"/>
        <v>local_non_chauffe</v>
      </c>
    </row>
    <row r="136" spans="1:8" x14ac:dyDescent="0.3">
      <c r="A136" s="6" t="s">
        <v>988</v>
      </c>
      <c r="B136" s="2" t="s">
        <v>983</v>
      </c>
      <c r="C136" s="1">
        <v>11</v>
      </c>
      <c r="D136" s="12" t="str">
        <f>IFERROR(SUBSTITUTE(_xlfn.TEXTAFTER(correspondance[[#This Row],[origin.path]],"enum_"),"_id",""),"")</f>
        <v>type_adjacence</v>
      </c>
      <c r="E136" s="12" t="str" cm="1">
        <f t="array" ref="E136">IFERROR(INDEX(enums[lib],MATCH(1,(enums[enum]=correspondance[[#This Row],[origin.enum]])*(enums[value]=correspondance[[#This Row],[origin.value]]),0),1),"")</f>
        <v>comble fortement ventilé</v>
      </c>
      <c r="F136" s="2" t="s">
        <v>997</v>
      </c>
      <c r="G136" s="1" t="s">
        <v>1029</v>
      </c>
      <c r="H136" s="6" t="str">
        <f t="shared" si="2"/>
        <v>local_non_chauffe</v>
      </c>
    </row>
    <row r="137" spans="1:8" x14ac:dyDescent="0.3">
      <c r="A137" s="6" t="s">
        <v>988</v>
      </c>
      <c r="B137" s="2" t="s">
        <v>983</v>
      </c>
      <c r="C137" s="1">
        <v>12</v>
      </c>
      <c r="D137" s="12" t="str">
        <f>IFERROR(SUBSTITUTE(_xlfn.TEXTAFTER(correspondance[[#This Row],[origin.path]],"enum_"),"_id",""),"")</f>
        <v>type_adjacence</v>
      </c>
      <c r="E137" s="12" t="str" cm="1">
        <f t="array" ref="E137">IFERROR(INDEX(enums[lib],MATCH(1,(enums[enum]=correspondance[[#This Row],[origin.enum]])*(enums[value]=correspondance[[#This Row],[origin.value]]),0),1),"")</f>
        <v>comble faiblement ventilé</v>
      </c>
      <c r="F137" s="2" t="s">
        <v>997</v>
      </c>
      <c r="G137" s="1" t="s">
        <v>1029</v>
      </c>
      <c r="H137" s="6" t="str">
        <f t="shared" si="2"/>
        <v>local_non_chauffe</v>
      </c>
    </row>
    <row r="138" spans="1:8" x14ac:dyDescent="0.3">
      <c r="A138" s="6" t="s">
        <v>988</v>
      </c>
      <c r="B138" s="2" t="s">
        <v>983</v>
      </c>
      <c r="C138" s="1">
        <v>13</v>
      </c>
      <c r="D138" s="12" t="str">
        <f>IFERROR(SUBSTITUTE(_xlfn.TEXTAFTER(correspondance[[#This Row],[origin.path]],"enum_"),"_id",""),"")</f>
        <v>type_adjacence</v>
      </c>
      <c r="E138" s="12" t="str" cm="1">
        <f t="array" ref="E138">IFERROR(INDEX(enums[lib],MATCH(1,(enums[enum]=correspondance[[#This Row],[origin.enum]])*(enums[value]=correspondance[[#This Row],[origin.value]]),0),1),"")</f>
        <v>comble très faiblement ventilé</v>
      </c>
      <c r="F138" s="2" t="s">
        <v>997</v>
      </c>
      <c r="G138" s="1" t="s">
        <v>1029</v>
      </c>
      <c r="H138" s="6" t="str">
        <f t="shared" si="2"/>
        <v>local_non_chauffe</v>
      </c>
    </row>
    <row r="139" spans="1:8" x14ac:dyDescent="0.3">
      <c r="A139" s="6" t="s">
        <v>988</v>
      </c>
      <c r="B139" s="2" t="s">
        <v>983</v>
      </c>
      <c r="C139" s="1">
        <v>14</v>
      </c>
      <c r="D139" s="12" t="str">
        <f>IFERROR(SUBSTITUTE(_xlfn.TEXTAFTER(correspondance[[#This Row],[origin.path]],"enum_"),"_id",""),"")</f>
        <v>type_adjacence</v>
      </c>
      <c r="E139" s="12" t="str" cm="1">
        <f t="array" ref="E139">IFERROR(INDEX(enums[lib],MATCH(1,(enums[enum]=correspondance[[#This Row],[origin.enum]])*(enums[value]=correspondance[[#This Row],[origin.value]]),0),1),"")</f>
        <v>circulation sans ouverture directe sur l'extérieur</v>
      </c>
      <c r="F139" s="2" t="s">
        <v>997</v>
      </c>
      <c r="G139" s="1" t="s">
        <v>1029</v>
      </c>
      <c r="H139" s="6" t="str">
        <f t="shared" si="2"/>
        <v>local_non_chauffe</v>
      </c>
    </row>
    <row r="140" spans="1:8" x14ac:dyDescent="0.3">
      <c r="A140" s="6" t="s">
        <v>988</v>
      </c>
      <c r="B140" s="2" t="s">
        <v>983</v>
      </c>
      <c r="C140" s="1">
        <v>15</v>
      </c>
      <c r="D140" s="12" t="str">
        <f>IFERROR(SUBSTITUTE(_xlfn.TEXTAFTER(correspondance[[#This Row],[origin.path]],"enum_"),"_id",""),"")</f>
        <v>type_adjacence</v>
      </c>
      <c r="E140" s="12" t="str" cm="1">
        <f t="array" ref="E140">IFERROR(INDEX(enums[lib],MATCH(1,(enums[enum]=correspondance[[#This Row],[origin.enum]])*(enums[value]=correspondance[[#This Row],[origin.value]]),0),1),"")</f>
        <v>circulation avec ouverture directe sur l'extérieur</v>
      </c>
      <c r="F140" s="2" t="s">
        <v>997</v>
      </c>
      <c r="G140" s="1" t="s">
        <v>1029</v>
      </c>
      <c r="H140" s="6" t="str">
        <f t="shared" si="2"/>
        <v>local_non_chauffe</v>
      </c>
    </row>
    <row r="141" spans="1:8" x14ac:dyDescent="0.3">
      <c r="A141" s="6" t="s">
        <v>988</v>
      </c>
      <c r="B141" s="2" t="s">
        <v>983</v>
      </c>
      <c r="C141" s="1">
        <v>16</v>
      </c>
      <c r="D141" s="12" t="str">
        <f>IFERROR(SUBSTITUTE(_xlfn.TEXTAFTER(correspondance[[#This Row],[origin.path]],"enum_"),"_id",""),"")</f>
        <v>type_adjacence</v>
      </c>
      <c r="E141" s="12" t="str" cm="1">
        <f t="array" ref="E141">IFERROR(INDEX(enums[lib],MATCH(1,(enums[enum]=correspondance[[#This Row],[origin.enum]])*(enums[value]=correspondance[[#This Row],[origin.value]]),0),1),"")</f>
        <v>circulation avec bouche ou gaine de désenfumage ouverte en permanence</v>
      </c>
      <c r="F141" s="2" t="s">
        <v>997</v>
      </c>
      <c r="G141" s="1" t="s">
        <v>1029</v>
      </c>
      <c r="H141" s="6" t="str">
        <f t="shared" si="2"/>
        <v>local_non_chauffe</v>
      </c>
    </row>
    <row r="142" spans="1:8" x14ac:dyDescent="0.3">
      <c r="A142" s="6" t="s">
        <v>988</v>
      </c>
      <c r="B142" s="2" t="s">
        <v>983</v>
      </c>
      <c r="C142" s="1">
        <v>17</v>
      </c>
      <c r="D142" s="12" t="str">
        <f>IFERROR(SUBSTITUTE(_xlfn.TEXTAFTER(correspondance[[#This Row],[origin.path]],"enum_"),"_id",""),"")</f>
        <v>type_adjacence</v>
      </c>
      <c r="E142" s="12" t="str" cm="1">
        <f t="array" ref="E142">IFERROR(INDEX(enums[lib],MATCH(1,(enums[enum]=correspondance[[#This Row],[origin.enum]])*(enums[value]=correspondance[[#This Row],[origin.value]]),0),1),"")</f>
        <v>hall d'entrée avec dispositif de fermeture automatique</v>
      </c>
      <c r="F142" s="2" t="s">
        <v>997</v>
      </c>
      <c r="G142" s="1" t="s">
        <v>1029</v>
      </c>
      <c r="H142" s="6" t="str">
        <f t="shared" si="2"/>
        <v>local_non_chauffe</v>
      </c>
    </row>
    <row r="143" spans="1:8" x14ac:dyDescent="0.3">
      <c r="A143" s="6" t="s">
        <v>988</v>
      </c>
      <c r="B143" s="2" t="s">
        <v>983</v>
      </c>
      <c r="C143" s="1">
        <v>18</v>
      </c>
      <c r="D143" s="12" t="str">
        <f>IFERROR(SUBSTITUTE(_xlfn.TEXTAFTER(correspondance[[#This Row],[origin.path]],"enum_"),"_id",""),"")</f>
        <v>type_adjacence</v>
      </c>
      <c r="E143" s="12" t="str" cm="1">
        <f t="array" ref="E143">IFERROR(INDEX(enums[lib],MATCH(1,(enums[enum]=correspondance[[#This Row],[origin.enum]])*(enums[value]=correspondance[[#This Row],[origin.value]]),0),1),"")</f>
        <v>hall d'entrée sans dispositif de fermeture automatique</v>
      </c>
      <c r="F143" s="2" t="s">
        <v>997</v>
      </c>
      <c r="G143" s="1" t="s">
        <v>1029</v>
      </c>
      <c r="H143" s="6" t="str">
        <f t="shared" si="2"/>
        <v>local_non_chauffe</v>
      </c>
    </row>
    <row r="144" spans="1:8" x14ac:dyDescent="0.3">
      <c r="A144" s="6" t="s">
        <v>988</v>
      </c>
      <c r="B144" s="2" t="s">
        <v>983</v>
      </c>
      <c r="C144" s="1">
        <v>19</v>
      </c>
      <c r="D144" s="12" t="str">
        <f>IFERROR(SUBSTITUTE(_xlfn.TEXTAFTER(correspondance[[#This Row],[origin.path]],"enum_"),"_id",""),"")</f>
        <v>type_adjacence</v>
      </c>
      <c r="E144" s="12" t="str" cm="1">
        <f t="array" ref="E144">IFERROR(INDEX(enums[lib],MATCH(1,(enums[enum]=correspondance[[#This Row],[origin.enum]])*(enums[value]=correspondance[[#This Row],[origin.value]]),0),1),"")</f>
        <v>garage privé collectif</v>
      </c>
      <c r="F144" s="2" t="s">
        <v>997</v>
      </c>
      <c r="G144" s="1" t="s">
        <v>1029</v>
      </c>
      <c r="H144" s="6" t="str">
        <f t="shared" si="2"/>
        <v>local_non_chauffe</v>
      </c>
    </row>
    <row r="145" spans="1:8" x14ac:dyDescent="0.3">
      <c r="A145" s="6" t="s">
        <v>988</v>
      </c>
      <c r="B145" s="2" t="s">
        <v>983</v>
      </c>
      <c r="C145" s="1">
        <v>20</v>
      </c>
      <c r="D145" s="12" t="str">
        <f>IFERROR(SUBSTITUTE(_xlfn.TEXTAFTER(correspondance[[#This Row],[origin.path]],"enum_"),"_id",""),"")</f>
        <v>type_adjacence</v>
      </c>
      <c r="E145" s="12" t="str" cm="1">
        <f t="array" ref="E145">IFERROR(INDEX(enums[lib],MATCH(1,(enums[enum]=correspondance[[#This Row],[origin.enum]])*(enums[value]=correspondance[[#This Row],[origin.value]]),0),1),"")</f>
        <v>local tertiaire à l'intérieur de l'immeuble en contact avec l'appartement</v>
      </c>
      <c r="F145" s="2" t="s">
        <v>997</v>
      </c>
      <c r="G145" s="1" t="s">
        <v>1026</v>
      </c>
      <c r="H145" s="6" t="str">
        <f t="shared" si="2"/>
        <v>local_non_residentiel</v>
      </c>
    </row>
    <row r="146" spans="1:8" x14ac:dyDescent="0.3">
      <c r="A146" s="6" t="s">
        <v>988</v>
      </c>
      <c r="B146" s="2" t="s">
        <v>983</v>
      </c>
      <c r="C146" s="1">
        <v>21</v>
      </c>
      <c r="D146" s="12" t="str">
        <f>IFERROR(SUBSTITUTE(_xlfn.TEXTAFTER(correspondance[[#This Row],[origin.path]],"enum_"),"_id",""),"")</f>
        <v>type_adjacence</v>
      </c>
      <c r="E146" s="12" t="str" cm="1">
        <f t="array" ref="E146">IFERROR(INDEX(enums[lib],MATCH(1,(enums[enum]=correspondance[[#This Row],[origin.enum]])*(enums[value]=correspondance[[#This Row],[origin.value]]),0),1),"")</f>
        <v>autres dépendances</v>
      </c>
      <c r="F146" s="2" t="s">
        <v>997</v>
      </c>
      <c r="G146" s="1" t="s">
        <v>1029</v>
      </c>
      <c r="H146" s="6" t="str">
        <f t="shared" si="2"/>
        <v>local_non_chauffe</v>
      </c>
    </row>
    <row r="147" spans="1:8" x14ac:dyDescent="0.3">
      <c r="A147" s="6" t="s">
        <v>988</v>
      </c>
      <c r="B147" s="2" t="s">
        <v>983</v>
      </c>
      <c r="C147" s="1">
        <v>22</v>
      </c>
      <c r="D147" s="12" t="str">
        <f>IFERROR(SUBSTITUTE(_xlfn.TEXTAFTER(correspondance[[#This Row],[origin.path]],"enum_"),"_id",""),"")</f>
        <v>type_adjacence</v>
      </c>
      <c r="E147" s="12" t="str" cm="1">
        <f t="array" ref="E147">IFERROR(INDEX(enums[lib],MATCH(1,(enums[enum]=correspondance[[#This Row],[origin.enum]])*(enums[value]=correspondance[[#This Row],[origin.value]]),0),1),"")</f>
        <v>local non déperditif ( local à usage d'habitation chauffé)</v>
      </c>
      <c r="F147" s="2" t="s">
        <v>997</v>
      </c>
      <c r="G147" s="1" t="s">
        <v>1030</v>
      </c>
      <c r="H147" s="6" t="str">
        <f t="shared" si="2"/>
        <v>local_residentiel</v>
      </c>
    </row>
    <row r="148" spans="1:8" x14ac:dyDescent="0.3">
      <c r="A148" s="6" t="s">
        <v>1044</v>
      </c>
      <c r="B148" s="11" t="s">
        <v>1035</v>
      </c>
      <c r="C148" s="1">
        <v>0</v>
      </c>
      <c r="D148" s="12" t="str">
        <f>IFERROR(SUBSTITUTE(_xlfn.TEXTAFTER(correspondance[[#This Row],[origin.path]],"enum_"),"_id",""),"")</f>
        <v/>
      </c>
      <c r="E148" s="12" t="str" cm="1">
        <f t="array" ref="E148">IFERROR(INDEX(enums[lib],MATCH(1,(enums[enum]=correspondance[[#This Row],[origin.enum]])*(enums[value]=correspondance[[#This Row],[origin.value]]),0),1),"")</f>
        <v/>
      </c>
      <c r="F148" s="11" t="s">
        <v>1045</v>
      </c>
      <c r="G148" s="1" t="s">
        <v>1004</v>
      </c>
      <c r="H148" s="6" t="str">
        <f t="shared" si="2"/>
        <v>legere</v>
      </c>
    </row>
    <row r="149" spans="1:8" x14ac:dyDescent="0.3">
      <c r="A149" s="6" t="s">
        <v>1044</v>
      </c>
      <c r="B149" s="11" t="s">
        <v>1035</v>
      </c>
      <c r="C149" s="1">
        <v>1</v>
      </c>
      <c r="D149" s="12" t="str">
        <f>IFERROR(SUBSTITUTE(_xlfn.TEXTAFTER(correspondance[[#This Row],[origin.path]],"enum_"),"_id",""),"")</f>
        <v/>
      </c>
      <c r="E149" s="12" t="str" cm="1">
        <f t="array" ref="E149">IFERROR(INDEX(enums[lib],MATCH(1,(enums[enum]=correspondance[[#This Row],[origin.enum]])*(enums[value]=correspondance[[#This Row],[origin.value]]),0),1),"")</f>
        <v/>
      </c>
      <c r="F149" s="11" t="s">
        <v>1045</v>
      </c>
      <c r="G149" s="1" t="s">
        <v>198</v>
      </c>
      <c r="H149" s="6" t="str">
        <f t="shared" si="2"/>
        <v>lourde</v>
      </c>
    </row>
    <row r="150" spans="1:8" x14ac:dyDescent="0.3">
      <c r="A150" s="6" t="s">
        <v>1044</v>
      </c>
      <c r="B150" s="2" t="s">
        <v>1040</v>
      </c>
      <c r="C150" s="1">
        <v>1</v>
      </c>
      <c r="D150" s="12" t="str">
        <f>IFERROR(SUBSTITUTE(_xlfn.TEXTAFTER(correspondance[[#This Row],[origin.path]],"enum_"),"_id",""),"")</f>
        <v>type_isolation</v>
      </c>
      <c r="E150" s="12" t="str" cm="1">
        <f t="array" ref="E150">IFERROR(INDEX(enums[lib],MATCH(1,(enums[enum]=correspondance[[#This Row],[origin.enum]])*(enums[value]=correspondance[[#This Row],[origin.value]]),0),1),"")</f>
        <v>inconnu</v>
      </c>
      <c r="F150" s="2" t="s">
        <v>1055</v>
      </c>
      <c r="G150" s="1"/>
      <c r="H150" s="6" t="str">
        <f t="shared" si="2"/>
        <v/>
      </c>
    </row>
    <row r="151" spans="1:8" x14ac:dyDescent="0.3">
      <c r="A151" s="6" t="s">
        <v>1044</v>
      </c>
      <c r="B151" s="2" t="s">
        <v>1040</v>
      </c>
      <c r="C151" s="1">
        <v>2</v>
      </c>
      <c r="D151" s="12" t="str">
        <f>IFERROR(SUBSTITUTE(_xlfn.TEXTAFTER(correspondance[[#This Row],[origin.path]],"enum_"),"_id",""),"")</f>
        <v>type_isolation</v>
      </c>
      <c r="E151" s="12" t="str" cm="1">
        <f t="array" ref="E151">IFERROR(INDEX(enums[lib],MATCH(1,(enums[enum]=correspondance[[#This Row],[origin.enum]])*(enums[value]=correspondance[[#This Row],[origin.value]]),0),1),"")</f>
        <v>non isolé</v>
      </c>
      <c r="F151" s="2" t="s">
        <v>1055</v>
      </c>
      <c r="G151" s="1" t="s">
        <v>936</v>
      </c>
      <c r="H151" s="6" t="str">
        <f t="shared" si="2"/>
        <v>non_isole</v>
      </c>
    </row>
    <row r="152" spans="1:8" x14ac:dyDescent="0.3">
      <c r="A152" s="6" t="s">
        <v>1044</v>
      </c>
      <c r="B152" s="2" t="s">
        <v>1040</v>
      </c>
      <c r="C152" s="1">
        <v>3</v>
      </c>
      <c r="D152" s="12" t="str">
        <f>IFERROR(SUBSTITUTE(_xlfn.TEXTAFTER(correspondance[[#This Row],[origin.path]],"enum_"),"_id",""),"")</f>
        <v>type_isolation</v>
      </c>
      <c r="E152" s="12" t="str" cm="1">
        <f t="array" ref="E152">IFERROR(INDEX(enums[lib],MATCH(1,(enums[enum]=correspondance[[#This Row],[origin.enum]])*(enums[value]=correspondance[[#This Row],[origin.value]]),0),1),"")</f>
        <v>iti</v>
      </c>
      <c r="F152" s="2" t="s">
        <v>1055</v>
      </c>
      <c r="G152" s="1" t="s">
        <v>937</v>
      </c>
      <c r="H152" s="6" t="str">
        <f t="shared" si="2"/>
        <v>isole</v>
      </c>
    </row>
    <row r="153" spans="1:8" x14ac:dyDescent="0.3">
      <c r="A153" s="6" t="s">
        <v>1044</v>
      </c>
      <c r="B153" s="2" t="s">
        <v>1040</v>
      </c>
      <c r="C153" s="1">
        <v>4</v>
      </c>
      <c r="D153" s="12" t="str">
        <f>IFERROR(SUBSTITUTE(_xlfn.TEXTAFTER(correspondance[[#This Row],[origin.path]],"enum_"),"_id",""),"")</f>
        <v>type_isolation</v>
      </c>
      <c r="E153" s="12" t="str" cm="1">
        <f t="array" ref="E153">IFERROR(INDEX(enums[lib],MATCH(1,(enums[enum]=correspondance[[#This Row],[origin.enum]])*(enums[value]=correspondance[[#This Row],[origin.value]]),0),1),"")</f>
        <v>ite</v>
      </c>
      <c r="F153" s="2" t="s">
        <v>1055</v>
      </c>
      <c r="G153" s="1" t="s">
        <v>937</v>
      </c>
      <c r="H153" s="6" t="str">
        <f t="shared" si="2"/>
        <v>isole</v>
      </c>
    </row>
    <row r="154" spans="1:8" x14ac:dyDescent="0.3">
      <c r="A154" s="6" t="s">
        <v>1044</v>
      </c>
      <c r="B154" s="2" t="s">
        <v>1040</v>
      </c>
      <c r="C154" s="1">
        <v>5</v>
      </c>
      <c r="D154" s="12" t="str">
        <f>IFERROR(SUBSTITUTE(_xlfn.TEXTAFTER(correspondance[[#This Row],[origin.path]],"enum_"),"_id",""),"")</f>
        <v>type_isolation</v>
      </c>
      <c r="E154" s="12" t="str" cm="1">
        <f t="array" ref="E154">IFERROR(INDEX(enums[lib],MATCH(1,(enums[enum]=correspondance[[#This Row],[origin.enum]])*(enums[value]=correspondance[[#This Row],[origin.value]]),0),1),"")</f>
        <v>itr</v>
      </c>
      <c r="F154" s="2" t="s">
        <v>1055</v>
      </c>
      <c r="G154" s="1" t="s">
        <v>937</v>
      </c>
      <c r="H154" s="6" t="str">
        <f t="shared" si="2"/>
        <v>isole</v>
      </c>
    </row>
    <row r="155" spans="1:8" x14ac:dyDescent="0.3">
      <c r="A155" s="6" t="s">
        <v>1044</v>
      </c>
      <c r="B155" s="2" t="s">
        <v>1040</v>
      </c>
      <c r="C155" s="1">
        <v>6</v>
      </c>
      <c r="D155" s="12" t="str">
        <f>IFERROR(SUBSTITUTE(_xlfn.TEXTAFTER(correspondance[[#This Row],[origin.path]],"enum_"),"_id",""),"")</f>
        <v>type_isolation</v>
      </c>
      <c r="E155" s="12" t="str" cm="1">
        <f t="array" ref="E155">IFERROR(INDEX(enums[lib],MATCH(1,(enums[enum]=correspondance[[#This Row],[origin.enum]])*(enums[value]=correspondance[[#This Row],[origin.value]]),0),1),"")</f>
        <v>iti+ite</v>
      </c>
      <c r="F155" s="2" t="s">
        <v>1055</v>
      </c>
      <c r="G155" s="1" t="s">
        <v>937</v>
      </c>
      <c r="H155" s="6" t="str">
        <f t="shared" si="2"/>
        <v>isole</v>
      </c>
    </row>
    <row r="156" spans="1:8" x14ac:dyDescent="0.3">
      <c r="A156" s="6" t="s">
        <v>1044</v>
      </c>
      <c r="B156" s="2" t="s">
        <v>1040</v>
      </c>
      <c r="C156" s="1">
        <v>7</v>
      </c>
      <c r="D156" s="12" t="str">
        <f>IFERROR(SUBSTITUTE(_xlfn.TEXTAFTER(correspondance[[#This Row],[origin.path]],"enum_"),"_id",""),"")</f>
        <v>type_isolation</v>
      </c>
      <c r="E156" s="12" t="str" cm="1">
        <f t="array" ref="E156">IFERROR(INDEX(enums[lib],MATCH(1,(enums[enum]=correspondance[[#This Row],[origin.enum]])*(enums[value]=correspondance[[#This Row],[origin.value]]),0),1),"")</f>
        <v>iti+itr</v>
      </c>
      <c r="F156" s="2" t="s">
        <v>1055</v>
      </c>
      <c r="G156" s="1" t="s">
        <v>937</v>
      </c>
      <c r="H156" s="6" t="str">
        <f t="shared" si="2"/>
        <v>isole</v>
      </c>
    </row>
    <row r="157" spans="1:8" x14ac:dyDescent="0.3">
      <c r="A157" s="6" t="s">
        <v>1044</v>
      </c>
      <c r="B157" s="2" t="s">
        <v>1040</v>
      </c>
      <c r="C157" s="1">
        <v>8</v>
      </c>
      <c r="D157" s="12" t="str">
        <f>IFERROR(SUBSTITUTE(_xlfn.TEXTAFTER(correspondance[[#This Row],[origin.path]],"enum_"),"_id",""),"")</f>
        <v>type_isolation</v>
      </c>
      <c r="E157" s="12" t="str" cm="1">
        <f t="array" ref="E157">IFERROR(INDEX(enums[lib],MATCH(1,(enums[enum]=correspondance[[#This Row],[origin.enum]])*(enums[value]=correspondance[[#This Row],[origin.value]]),0),1),"")</f>
        <v>ite+itr</v>
      </c>
      <c r="F157" s="2" t="s">
        <v>1055</v>
      </c>
      <c r="G157" s="1" t="s">
        <v>937</v>
      </c>
      <c r="H157" s="6" t="str">
        <f t="shared" si="2"/>
        <v>isole</v>
      </c>
    </row>
    <row r="158" spans="1:8" x14ac:dyDescent="0.3">
      <c r="A158" s="6" t="s">
        <v>1044</v>
      </c>
      <c r="B158" s="2" t="s">
        <v>1040</v>
      </c>
      <c r="C158" s="1">
        <v>9</v>
      </c>
      <c r="D158" s="12" t="str">
        <f>IFERROR(SUBSTITUTE(_xlfn.TEXTAFTER(correspondance[[#This Row],[origin.path]],"enum_"),"_id",""),"")</f>
        <v>type_isolation</v>
      </c>
      <c r="E158" s="12" t="str" cm="1">
        <f t="array" ref="E158">IFERROR(INDEX(enums[lib],MATCH(1,(enums[enum]=correspondance[[#This Row],[origin.enum]])*(enums[value]=correspondance[[#This Row],[origin.value]]),0),1),"")</f>
        <v>isolé mais type d'isolation inconnu</v>
      </c>
      <c r="F158" s="2" t="s">
        <v>1055</v>
      </c>
      <c r="G158" s="1" t="s">
        <v>937</v>
      </c>
      <c r="H158" s="6" t="str">
        <f t="shared" si="2"/>
        <v>isole</v>
      </c>
    </row>
    <row r="159" spans="1:8" x14ac:dyDescent="0.3">
      <c r="A159" s="6" t="s">
        <v>1044</v>
      </c>
      <c r="B159" s="2" t="s">
        <v>1040</v>
      </c>
      <c r="C159" s="1">
        <v>1</v>
      </c>
      <c r="D159" s="12" t="str">
        <f>IFERROR(SUBSTITUTE(_xlfn.TEXTAFTER(correspondance[[#This Row],[origin.path]],"enum_"),"_id",""),"")</f>
        <v>type_isolation</v>
      </c>
      <c r="E159" s="12" t="str" cm="1">
        <f t="array" ref="E159">IFERROR(INDEX(enums[lib],MATCH(1,(enums[enum]=correspondance[[#This Row],[origin.enum]])*(enums[value]=correspondance[[#This Row],[origin.value]]),0),1),"")</f>
        <v>inconnu</v>
      </c>
      <c r="F159" s="2" t="s">
        <v>1055</v>
      </c>
      <c r="G159" s="1"/>
      <c r="H159" s="6" t="str">
        <f t="shared" si="2"/>
        <v/>
      </c>
    </row>
    <row r="160" spans="1:8" x14ac:dyDescent="0.3">
      <c r="A160" s="6" t="s">
        <v>1044</v>
      </c>
      <c r="B160" s="2" t="s">
        <v>1040</v>
      </c>
      <c r="C160" s="1">
        <v>2</v>
      </c>
      <c r="D160" s="12" t="str">
        <f>IFERROR(SUBSTITUTE(_xlfn.TEXTAFTER(correspondance[[#This Row],[origin.path]],"enum_"),"_id",""),"")</f>
        <v>type_isolation</v>
      </c>
      <c r="E160" s="12" t="str" cm="1">
        <f t="array" ref="E160">IFERROR(INDEX(enums[lib],MATCH(1,(enums[enum]=correspondance[[#This Row],[origin.enum]])*(enums[value]=correspondance[[#This Row],[origin.value]]),0),1),"")</f>
        <v>non isolé</v>
      </c>
      <c r="F160" s="2" t="s">
        <v>1055</v>
      </c>
      <c r="G160" s="1" t="s">
        <v>938</v>
      </c>
      <c r="H160" s="6" t="str">
        <f t="shared" si="2"/>
        <v/>
      </c>
    </row>
    <row r="161" spans="1:8" x14ac:dyDescent="0.3">
      <c r="A161" s="6" t="s">
        <v>1044</v>
      </c>
      <c r="B161" s="2" t="s">
        <v>1040</v>
      </c>
      <c r="C161" s="1">
        <v>3</v>
      </c>
      <c r="D161" s="12" t="str">
        <f>IFERROR(SUBSTITUTE(_xlfn.TEXTAFTER(correspondance[[#This Row],[origin.path]],"enum_"),"_id",""),"")</f>
        <v>type_isolation</v>
      </c>
      <c r="E161" s="12" t="str" cm="1">
        <f t="array" ref="E161">IFERROR(INDEX(enums[lib],MATCH(1,(enums[enum]=correspondance[[#This Row],[origin.enum]])*(enums[value]=correspondance[[#This Row],[origin.value]]),0),1),"")</f>
        <v>iti</v>
      </c>
      <c r="F161" s="2" t="s">
        <v>1055</v>
      </c>
      <c r="G161" s="1" t="s">
        <v>265</v>
      </c>
      <c r="H161" s="6" t="str">
        <f t="shared" si="2"/>
        <v>iti</v>
      </c>
    </row>
    <row r="162" spans="1:8" x14ac:dyDescent="0.3">
      <c r="A162" s="6" t="s">
        <v>1044</v>
      </c>
      <c r="B162" s="2" t="s">
        <v>1040</v>
      </c>
      <c r="C162" s="1">
        <v>4</v>
      </c>
      <c r="D162" s="12" t="str">
        <f>IFERROR(SUBSTITUTE(_xlfn.TEXTAFTER(correspondance[[#This Row],[origin.path]],"enum_"),"_id",""),"")</f>
        <v>type_isolation</v>
      </c>
      <c r="E162" s="12" t="str" cm="1">
        <f t="array" ref="E162">IFERROR(INDEX(enums[lib],MATCH(1,(enums[enum]=correspondance[[#This Row],[origin.enum]])*(enums[value]=correspondance[[#This Row],[origin.value]]),0),1),"")</f>
        <v>ite</v>
      </c>
      <c r="F162" s="2" t="s">
        <v>1055</v>
      </c>
      <c r="G162" s="1" t="s">
        <v>266</v>
      </c>
      <c r="H162" s="6" t="str">
        <f t="shared" si="2"/>
        <v>ite</v>
      </c>
    </row>
    <row r="163" spans="1:8" x14ac:dyDescent="0.3">
      <c r="A163" s="6" t="s">
        <v>1044</v>
      </c>
      <c r="B163" s="2" t="s">
        <v>1040</v>
      </c>
      <c r="C163" s="1">
        <v>5</v>
      </c>
      <c r="D163" s="12" t="str">
        <f>IFERROR(SUBSTITUTE(_xlfn.TEXTAFTER(correspondance[[#This Row],[origin.path]],"enum_"),"_id",""),"")</f>
        <v>type_isolation</v>
      </c>
      <c r="E163" s="12" t="str" cm="1">
        <f t="array" ref="E163">IFERROR(INDEX(enums[lib],MATCH(1,(enums[enum]=correspondance[[#This Row],[origin.enum]])*(enums[value]=correspondance[[#This Row],[origin.value]]),0),1),"")</f>
        <v>itr</v>
      </c>
      <c r="F163" s="2" t="s">
        <v>1055</v>
      </c>
      <c r="G163" s="1" t="s">
        <v>267</v>
      </c>
      <c r="H163" s="6" t="str">
        <f t="shared" si="2"/>
        <v>itr</v>
      </c>
    </row>
    <row r="164" spans="1:8" x14ac:dyDescent="0.3">
      <c r="A164" s="6" t="s">
        <v>1044</v>
      </c>
      <c r="B164" s="2" t="s">
        <v>1040</v>
      </c>
      <c r="C164" s="1">
        <v>6</v>
      </c>
      <c r="D164" s="12" t="str">
        <f>IFERROR(SUBSTITUTE(_xlfn.TEXTAFTER(correspondance[[#This Row],[origin.path]],"enum_"),"_id",""),"")</f>
        <v>type_isolation</v>
      </c>
      <c r="E164" s="12" t="str" cm="1">
        <f t="array" ref="E164">IFERROR(INDEX(enums[lib],MATCH(1,(enums[enum]=correspondance[[#This Row],[origin.enum]])*(enums[value]=correspondance[[#This Row],[origin.value]]),0),1),"")</f>
        <v>iti+ite</v>
      </c>
      <c r="F164" s="2" t="s">
        <v>1055</v>
      </c>
      <c r="G164" s="1" t="s">
        <v>1006</v>
      </c>
      <c r="H164" s="6" t="str">
        <f t="shared" si="2"/>
        <v>iti_ite</v>
      </c>
    </row>
    <row r="165" spans="1:8" x14ac:dyDescent="0.3">
      <c r="A165" s="6" t="s">
        <v>1044</v>
      </c>
      <c r="B165" s="2" t="s">
        <v>1040</v>
      </c>
      <c r="C165" s="1">
        <v>7</v>
      </c>
      <c r="D165" s="12" t="str">
        <f>IFERROR(SUBSTITUTE(_xlfn.TEXTAFTER(correspondance[[#This Row],[origin.path]],"enum_"),"_id",""),"")</f>
        <v>type_isolation</v>
      </c>
      <c r="E165" s="12" t="str" cm="1">
        <f t="array" ref="E165">IFERROR(INDEX(enums[lib],MATCH(1,(enums[enum]=correspondance[[#This Row],[origin.enum]])*(enums[value]=correspondance[[#This Row],[origin.value]]),0),1),"")</f>
        <v>iti+itr</v>
      </c>
      <c r="F165" s="2" t="s">
        <v>1055</v>
      </c>
      <c r="G165" s="1" t="s">
        <v>1007</v>
      </c>
      <c r="H165" s="6" t="str">
        <f t="shared" si="2"/>
        <v>itr_iti</v>
      </c>
    </row>
    <row r="166" spans="1:8" x14ac:dyDescent="0.3">
      <c r="A166" s="6" t="s">
        <v>1044</v>
      </c>
      <c r="B166" s="2" t="s">
        <v>1040</v>
      </c>
      <c r="C166" s="1">
        <v>8</v>
      </c>
      <c r="D166" s="12" t="str">
        <f>IFERROR(SUBSTITUTE(_xlfn.TEXTAFTER(correspondance[[#This Row],[origin.path]],"enum_"),"_id",""),"")</f>
        <v>type_isolation</v>
      </c>
      <c r="E166" s="12" t="str" cm="1">
        <f t="array" ref="E166">IFERROR(INDEX(enums[lib],MATCH(1,(enums[enum]=correspondance[[#This Row],[origin.enum]])*(enums[value]=correspondance[[#This Row],[origin.value]]),0),1),"")</f>
        <v>ite+itr</v>
      </c>
      <c r="F166" s="2" t="s">
        <v>1055</v>
      </c>
      <c r="G166" s="1" t="s">
        <v>1008</v>
      </c>
      <c r="H166" s="6" t="str">
        <f t="shared" si="2"/>
        <v>itr_ite</v>
      </c>
    </row>
    <row r="167" spans="1:8" x14ac:dyDescent="0.3">
      <c r="A167" s="6" t="s">
        <v>1044</v>
      </c>
      <c r="B167" s="2" t="s">
        <v>1040</v>
      </c>
      <c r="C167" s="1">
        <v>9</v>
      </c>
      <c r="D167" s="12" t="str">
        <f>IFERROR(SUBSTITUTE(_xlfn.TEXTAFTER(correspondance[[#This Row],[origin.path]],"enum_"),"_id",""),"")</f>
        <v>type_isolation</v>
      </c>
      <c r="E167" s="12" t="str" cm="1">
        <f t="array" ref="E167">IFERROR(INDEX(enums[lib],MATCH(1,(enums[enum]=correspondance[[#This Row],[origin.enum]])*(enums[value]=correspondance[[#This Row],[origin.value]]),0),1),"")</f>
        <v>isolé mais type d'isolation inconnu</v>
      </c>
      <c r="F167" s="2" t="s">
        <v>1055</v>
      </c>
      <c r="G167" s="1"/>
      <c r="H167" s="6" t="str">
        <f t="shared" si="2"/>
        <v/>
      </c>
    </row>
    <row r="168" spans="1:8" x14ac:dyDescent="0.3">
      <c r="A168" s="6" t="s">
        <v>1044</v>
      </c>
      <c r="B168" s="2" t="s">
        <v>1034</v>
      </c>
      <c r="C168" s="1">
        <v>1</v>
      </c>
      <c r="D168" s="12" t="str">
        <f>IFERROR(SUBSTITUTE(_xlfn.TEXTAFTER(correspondance[[#This Row],[origin.path]],"enum_"),"_id",""),"")</f>
        <v>type_plancher_bas</v>
      </c>
      <c r="E168" s="12" t="str" cm="1">
        <f t="array" ref="E168">IFERROR(INDEX(enums[lib],MATCH(1,(enums[enum]=correspondance[[#This Row],[origin.enum]])*(enums[value]=correspondance[[#This Row],[origin.value]]),0),1),"")</f>
        <v>inconnu</v>
      </c>
      <c r="F168" s="2" t="s">
        <v>1059</v>
      </c>
      <c r="G168" s="1"/>
      <c r="H168" s="6" t="str">
        <f t="shared" si="2"/>
        <v/>
      </c>
    </row>
    <row r="169" spans="1:8" x14ac:dyDescent="0.3">
      <c r="A169" s="6" t="s">
        <v>1044</v>
      </c>
      <c r="B169" s="2" t="s">
        <v>1034</v>
      </c>
      <c r="C169" s="1">
        <v>2</v>
      </c>
      <c r="D169" s="12" t="str">
        <f>IFERROR(SUBSTITUTE(_xlfn.TEXTAFTER(correspondance[[#This Row],[origin.path]],"enum_"),"_id",""),"")</f>
        <v>type_plancher_bas</v>
      </c>
      <c r="E169" s="12" t="str" cm="1">
        <f t="array" ref="E169">IFERROR(INDEX(enums[lib],MATCH(1,(enums[enum]=correspondance[[#This Row],[origin.enum]])*(enums[value]=correspondance[[#This Row],[origin.value]]),0),1),"")</f>
        <v>plancher avec ou sans remplissage</v>
      </c>
      <c r="F169" s="2" t="s">
        <v>1059</v>
      </c>
      <c r="G169" s="1" t="s">
        <v>1060</v>
      </c>
      <c r="H169" s="6" t="str">
        <f t="shared" si="2"/>
        <v>plancher_avec_ou_sans_remplissage</v>
      </c>
    </row>
    <row r="170" spans="1:8" x14ac:dyDescent="0.3">
      <c r="A170" s="6" t="s">
        <v>1044</v>
      </c>
      <c r="B170" s="2" t="s">
        <v>1034</v>
      </c>
      <c r="C170" s="1">
        <v>3</v>
      </c>
      <c r="D170" s="12" t="str">
        <f>IFERROR(SUBSTITUTE(_xlfn.TEXTAFTER(correspondance[[#This Row],[origin.path]],"enum_"),"_id",""),"")</f>
        <v>type_plancher_bas</v>
      </c>
      <c r="E170" s="12" t="str" cm="1">
        <f t="array" ref="E170">IFERROR(INDEX(enums[lib],MATCH(1,(enums[enum]=correspondance[[#This Row],[origin.enum]])*(enums[value]=correspondance[[#This Row],[origin.value]]),0),1),"")</f>
        <v>plancher entre solives métalliques avec ou sans remplissage</v>
      </c>
      <c r="F170" s="2" t="s">
        <v>1059</v>
      </c>
      <c r="G170" s="1" t="s">
        <v>1061</v>
      </c>
      <c r="H170" s="6" t="str">
        <f t="shared" si="2"/>
        <v>plancher_entre_solives_metalliques</v>
      </c>
    </row>
    <row r="171" spans="1:8" x14ac:dyDescent="0.3">
      <c r="A171" s="6" t="s">
        <v>1044</v>
      </c>
      <c r="B171" s="2" t="s">
        <v>1034</v>
      </c>
      <c r="C171" s="1">
        <v>4</v>
      </c>
      <c r="D171" s="12" t="str">
        <f>IFERROR(SUBSTITUTE(_xlfn.TEXTAFTER(correspondance[[#This Row],[origin.path]],"enum_"),"_id",""),"")</f>
        <v>type_plancher_bas</v>
      </c>
      <c r="E171" s="12" t="str" cm="1">
        <f t="array" ref="E171">IFERROR(INDEX(enums[lib],MATCH(1,(enums[enum]=correspondance[[#This Row],[origin.enum]])*(enums[value]=correspondance[[#This Row],[origin.value]]),0),1),"")</f>
        <v>plancher entre solives bois avec ou sans remplissage</v>
      </c>
      <c r="F171" s="2" t="s">
        <v>1059</v>
      </c>
      <c r="G171" s="1" t="s">
        <v>1062</v>
      </c>
      <c r="H171" s="6" t="str">
        <f t="shared" si="2"/>
        <v>plancher_entre_solives_bois</v>
      </c>
    </row>
    <row r="172" spans="1:8" x14ac:dyDescent="0.3">
      <c r="A172" s="6" t="s">
        <v>1044</v>
      </c>
      <c r="B172" s="2" t="s">
        <v>1034</v>
      </c>
      <c r="C172" s="1">
        <v>5</v>
      </c>
      <c r="D172" s="12" t="str">
        <f>IFERROR(SUBSTITUTE(_xlfn.TEXTAFTER(correspondance[[#This Row],[origin.path]],"enum_"),"_id",""),"")</f>
        <v>type_plancher_bas</v>
      </c>
      <c r="E172" s="12" t="str" cm="1">
        <f t="array" ref="E172">IFERROR(INDEX(enums[lib],MATCH(1,(enums[enum]=correspondance[[#This Row],[origin.enum]])*(enums[value]=correspondance[[#This Row],[origin.value]]),0),1),"")</f>
        <v>plancher bois sur solives métalliques</v>
      </c>
      <c r="F172" s="2" t="s">
        <v>1059</v>
      </c>
      <c r="G172" s="1" t="s">
        <v>1063</v>
      </c>
      <c r="H172" s="6" t="str">
        <f t="shared" si="2"/>
        <v>plancher_bois_sur_solives_metalliques</v>
      </c>
    </row>
    <row r="173" spans="1:8" x14ac:dyDescent="0.3">
      <c r="A173" s="6" t="s">
        <v>1044</v>
      </c>
      <c r="B173" s="2" t="s">
        <v>1034</v>
      </c>
      <c r="C173" s="1">
        <v>6</v>
      </c>
      <c r="D173" s="12" t="str">
        <f>IFERROR(SUBSTITUTE(_xlfn.TEXTAFTER(correspondance[[#This Row],[origin.path]],"enum_"),"_id",""),"")</f>
        <v>type_plancher_bas</v>
      </c>
      <c r="E173" s="12" t="str" cm="1">
        <f t="array" ref="E173">IFERROR(INDEX(enums[lib],MATCH(1,(enums[enum]=correspondance[[#This Row],[origin.enum]])*(enums[value]=correspondance[[#This Row],[origin.value]]),0),1),"")</f>
        <v>bardeaux et remplissage</v>
      </c>
      <c r="F173" s="2" t="s">
        <v>1059</v>
      </c>
      <c r="G173" s="1" t="s">
        <v>1014</v>
      </c>
      <c r="H173" s="6" t="str">
        <f t="shared" si="2"/>
        <v>bardeaux_et_remplissage</v>
      </c>
    </row>
    <row r="174" spans="1:8" x14ac:dyDescent="0.3">
      <c r="A174" s="6" t="s">
        <v>1044</v>
      </c>
      <c r="B174" s="2" t="s">
        <v>1034</v>
      </c>
      <c r="C174" s="1">
        <v>7</v>
      </c>
      <c r="D174" s="12" t="str">
        <f>IFERROR(SUBSTITUTE(_xlfn.TEXTAFTER(correspondance[[#This Row],[origin.path]],"enum_"),"_id",""),"")</f>
        <v>type_plancher_bas</v>
      </c>
      <c r="E174" s="12" t="str" cm="1">
        <f t="array" ref="E174">IFERROR(INDEX(enums[lib],MATCH(1,(enums[enum]=correspondance[[#This Row],[origin.enum]])*(enums[value]=correspondance[[#This Row],[origin.value]]),0),1),"")</f>
        <v>voutains sur solives métalliques</v>
      </c>
      <c r="F174" s="2" t="s">
        <v>1059</v>
      </c>
      <c r="G174" s="1" t="s">
        <v>1064</v>
      </c>
      <c r="H174" s="6" t="str">
        <f t="shared" si="2"/>
        <v>voutains_sur_solives_metalliques</v>
      </c>
    </row>
    <row r="175" spans="1:8" x14ac:dyDescent="0.3">
      <c r="A175" s="6" t="s">
        <v>1044</v>
      </c>
      <c r="B175" s="2" t="s">
        <v>1034</v>
      </c>
      <c r="C175" s="1">
        <v>8</v>
      </c>
      <c r="D175" s="12" t="str">
        <f>IFERROR(SUBSTITUTE(_xlfn.TEXTAFTER(correspondance[[#This Row],[origin.path]],"enum_"),"_id",""),"")</f>
        <v>type_plancher_bas</v>
      </c>
      <c r="E175" s="12" t="str" cm="1">
        <f t="array" ref="E175">IFERROR(INDEX(enums[lib],MATCH(1,(enums[enum]=correspondance[[#This Row],[origin.enum]])*(enums[value]=correspondance[[#This Row],[origin.value]]),0),1),"")</f>
        <v>voutains en briques ou moellons</v>
      </c>
      <c r="F175" s="2" t="s">
        <v>1059</v>
      </c>
      <c r="G175" s="1" t="s">
        <v>1065</v>
      </c>
      <c r="H175" s="6" t="str">
        <f t="shared" si="2"/>
        <v>voutains_briques_ou_moellons</v>
      </c>
    </row>
    <row r="176" spans="1:8" x14ac:dyDescent="0.3">
      <c r="A176" s="6" t="s">
        <v>1044</v>
      </c>
      <c r="B176" s="2" t="s">
        <v>1034</v>
      </c>
      <c r="C176" s="1">
        <v>9</v>
      </c>
      <c r="D176" s="12" t="str">
        <f>IFERROR(SUBSTITUTE(_xlfn.TEXTAFTER(correspondance[[#This Row],[origin.path]],"enum_"),"_id",""),"")</f>
        <v>type_plancher_bas</v>
      </c>
      <c r="E176" s="12" t="str" cm="1">
        <f t="array" ref="E176">IFERROR(INDEX(enums[lib],MATCH(1,(enums[enum]=correspondance[[#This Row],[origin.enum]])*(enums[value]=correspondance[[#This Row],[origin.value]]),0),1),"")</f>
        <v>dalle béton</v>
      </c>
      <c r="F176" s="2" t="s">
        <v>1059</v>
      </c>
      <c r="G176" s="1" t="s">
        <v>1017</v>
      </c>
      <c r="H176" s="6" t="str">
        <f t="shared" si="2"/>
        <v>dalle_beton</v>
      </c>
    </row>
    <row r="177" spans="1:8" x14ac:dyDescent="0.3">
      <c r="A177" s="6" t="s">
        <v>1044</v>
      </c>
      <c r="B177" s="2" t="s">
        <v>1034</v>
      </c>
      <c r="C177" s="1">
        <v>10</v>
      </c>
      <c r="D177" s="12" t="str">
        <f>IFERROR(SUBSTITUTE(_xlfn.TEXTAFTER(correspondance[[#This Row],[origin.path]],"enum_"),"_id",""),"")</f>
        <v>type_plancher_bas</v>
      </c>
      <c r="E177" s="12" t="str" cm="1">
        <f t="array" ref="E177">IFERROR(INDEX(enums[lib],MATCH(1,(enums[enum]=correspondance[[#This Row],[origin.enum]])*(enums[value]=correspondance[[#This Row],[origin.value]]),0),1),"")</f>
        <v>plancher bois sur solives bois</v>
      </c>
      <c r="F177" s="2" t="s">
        <v>1059</v>
      </c>
      <c r="G177" s="1" t="s">
        <v>1066</v>
      </c>
      <c r="H177" s="6" t="str">
        <f t="shared" si="2"/>
        <v>plancher_bois_sur_solives_bois</v>
      </c>
    </row>
    <row r="178" spans="1:8" x14ac:dyDescent="0.3">
      <c r="A178" s="6" t="s">
        <v>1044</v>
      </c>
      <c r="B178" s="2" t="s">
        <v>1034</v>
      </c>
      <c r="C178" s="1">
        <v>11</v>
      </c>
      <c r="D178" s="12" t="str">
        <f>IFERROR(SUBSTITUTE(_xlfn.TEXTAFTER(correspondance[[#This Row],[origin.path]],"enum_"),"_id",""),"")</f>
        <v>type_plancher_bas</v>
      </c>
      <c r="E178" s="12" t="str" cm="1">
        <f t="array" ref="E178">IFERROR(INDEX(enums[lib],MATCH(1,(enums[enum]=correspondance[[#This Row],[origin.enum]])*(enums[value]=correspondance[[#This Row],[origin.value]]),0),1),"")</f>
        <v>plancher lourd type entrevous terre-cuite, poutrelles béton</v>
      </c>
      <c r="F178" s="2" t="s">
        <v>1059</v>
      </c>
      <c r="G178" s="1" t="s">
        <v>1067</v>
      </c>
      <c r="H178" s="6" t="str">
        <f t="shared" si="2"/>
        <v>plancher_lourd_type_entrevous_terre_cuite_ou_poutrelles_beton</v>
      </c>
    </row>
    <row r="179" spans="1:8" x14ac:dyDescent="0.3">
      <c r="A179" s="6" t="s">
        <v>1044</v>
      </c>
      <c r="B179" s="2" t="s">
        <v>1034</v>
      </c>
      <c r="C179" s="1">
        <v>12</v>
      </c>
      <c r="D179" s="12" t="str">
        <f>IFERROR(SUBSTITUTE(_xlfn.TEXTAFTER(correspondance[[#This Row],[origin.path]],"enum_"),"_id",""),"")</f>
        <v>type_plancher_bas</v>
      </c>
      <c r="E179" s="12" t="str" cm="1">
        <f t="array" ref="E179">IFERROR(INDEX(enums[lib],MATCH(1,(enums[enum]=correspondance[[#This Row],[origin.enum]])*(enums[value]=correspondance[[#This Row],[origin.value]]),0),1),"")</f>
        <v>plancher à entrevous isolant</v>
      </c>
      <c r="F179" s="2" t="s">
        <v>1059</v>
      </c>
      <c r="G179" s="1" t="s">
        <v>1068</v>
      </c>
      <c r="H179" s="6" t="str">
        <f t="shared" si="2"/>
        <v>plancher_entrevous_isolant</v>
      </c>
    </row>
    <row r="180" spans="1:8" x14ac:dyDescent="0.3">
      <c r="A180" s="6" t="s">
        <v>1044</v>
      </c>
      <c r="B180" s="2" t="s">
        <v>1034</v>
      </c>
      <c r="C180" s="1">
        <v>13</v>
      </c>
      <c r="D180" s="12" t="str">
        <f>IFERROR(SUBSTITUTE(_xlfn.TEXTAFTER(correspondance[[#This Row],[origin.path]],"enum_"),"_id",""),"")</f>
        <v>type_plancher_bas</v>
      </c>
      <c r="E180" s="12" t="str" cm="1">
        <f t="array" ref="E180">IFERROR(INDEX(enums[lib],MATCH(1,(enums[enum]=correspondance[[#This Row],[origin.enum]])*(enums[value]=correspondance[[#This Row],[origin.value]]),0),1),"")</f>
        <v>autre type de plancher non répertorié</v>
      </c>
      <c r="F180" s="2" t="s">
        <v>1059</v>
      </c>
      <c r="G180" s="1"/>
      <c r="H180" s="6" t="str">
        <f t="shared" si="2"/>
        <v/>
      </c>
    </row>
    <row r="181" spans="1:8" x14ac:dyDescent="0.3">
      <c r="A181" s="6" t="s">
        <v>1044</v>
      </c>
      <c r="B181" s="2" t="s">
        <v>1039</v>
      </c>
      <c r="C181" s="1">
        <v>1</v>
      </c>
      <c r="D181" s="12" t="str">
        <f>IFERROR(SUBSTITUTE(_xlfn.TEXTAFTER(correspondance[[#This Row],[origin.path]],"enum_"),"_id",""),"")</f>
        <v>type_adjacence</v>
      </c>
      <c r="E181" s="12" t="str" cm="1">
        <f t="array" ref="E181">IFERROR(INDEX(enums[lib],MATCH(1,(enums[enum]=correspondance[[#This Row],[origin.enum]])*(enums[value]=correspondance[[#This Row],[origin.value]]),0),1),"")</f>
        <v>extérieur</v>
      </c>
      <c r="F181" s="2" t="s">
        <v>1053</v>
      </c>
      <c r="G181" s="1" t="s">
        <v>1023</v>
      </c>
      <c r="H181" s="6" t="str">
        <f t="shared" si="2"/>
        <v>exterieur</v>
      </c>
    </row>
    <row r="182" spans="1:8" x14ac:dyDescent="0.3">
      <c r="A182" s="6" t="s">
        <v>1044</v>
      </c>
      <c r="B182" s="2" t="s">
        <v>1039</v>
      </c>
      <c r="C182" s="1">
        <v>2</v>
      </c>
      <c r="D182" s="12" t="str">
        <f>IFERROR(SUBSTITUTE(_xlfn.TEXTAFTER(correspondance[[#This Row],[origin.path]],"enum_"),"_id",""),"")</f>
        <v>type_adjacence</v>
      </c>
      <c r="E182" s="12" t="str" cm="1">
        <f t="array" ref="E182">IFERROR(INDEX(enums[lib],MATCH(1,(enums[enum]=correspondance[[#This Row],[origin.enum]])*(enums[value]=correspondance[[#This Row],[origin.value]]),0),1),"")</f>
        <v>paroi enterrée</v>
      </c>
      <c r="F182" s="2" t="s">
        <v>1053</v>
      </c>
      <c r="G182" s="1" t="s">
        <v>1024</v>
      </c>
      <c r="H182" s="6" t="str">
        <f t="shared" si="2"/>
        <v>enterre</v>
      </c>
    </row>
    <row r="183" spans="1:8" x14ac:dyDescent="0.3">
      <c r="A183" s="6" t="s">
        <v>1044</v>
      </c>
      <c r="B183" s="2" t="s">
        <v>1039</v>
      </c>
      <c r="C183" s="1">
        <v>3</v>
      </c>
      <c r="D183" s="12" t="str">
        <f>IFERROR(SUBSTITUTE(_xlfn.TEXTAFTER(correspondance[[#This Row],[origin.path]],"enum_"),"_id",""),"")</f>
        <v>type_adjacence</v>
      </c>
      <c r="E183" s="12" t="str" cm="1">
        <f t="array" ref="E183">IFERROR(INDEX(enums[lib],MATCH(1,(enums[enum]=correspondance[[#This Row],[origin.enum]])*(enums[value]=correspondance[[#This Row],[origin.value]]),0),1),"")</f>
        <v>vide sanitaire</v>
      </c>
      <c r="F183" s="2" t="s">
        <v>1053</v>
      </c>
      <c r="G183" s="1" t="s">
        <v>1025</v>
      </c>
      <c r="H183" s="6" t="str">
        <f t="shared" si="2"/>
        <v>vide_sanitaire</v>
      </c>
    </row>
    <row r="184" spans="1:8" x14ac:dyDescent="0.3">
      <c r="A184" s="6" t="s">
        <v>1044</v>
      </c>
      <c r="B184" s="2" t="s">
        <v>1039</v>
      </c>
      <c r="C184" s="1">
        <v>4</v>
      </c>
      <c r="D184" s="12" t="str">
        <f>IFERROR(SUBSTITUTE(_xlfn.TEXTAFTER(correspondance[[#This Row],[origin.path]],"enum_"),"_id",""),"")</f>
        <v>type_adjacence</v>
      </c>
      <c r="E184" s="12" t="str" cm="1">
        <f t="array" ref="E184">IFERROR(INDEX(enums[lib],MATCH(1,(enums[enum]=correspondance[[#This Row],[origin.enum]])*(enums[value]=correspondance[[#This Row],[origin.value]]),0),1),"")</f>
        <v>bâtiment ou local à usage autre que d'habitation</v>
      </c>
      <c r="F184" s="2" t="s">
        <v>1053</v>
      </c>
      <c r="G184" s="1" t="s">
        <v>1026</v>
      </c>
      <c r="H184" s="6" t="str">
        <f t="shared" si="2"/>
        <v>local_non_residentiel</v>
      </c>
    </row>
    <row r="185" spans="1:8" x14ac:dyDescent="0.3">
      <c r="A185" s="6" t="s">
        <v>1044</v>
      </c>
      <c r="B185" s="2" t="s">
        <v>1039</v>
      </c>
      <c r="C185" s="1">
        <v>5</v>
      </c>
      <c r="D185" s="12" t="str">
        <f>IFERROR(SUBSTITUTE(_xlfn.TEXTAFTER(correspondance[[#This Row],[origin.path]],"enum_"),"_id",""),"")</f>
        <v>type_adjacence</v>
      </c>
      <c r="E185" s="12" t="str" cm="1">
        <f t="array" ref="E185">IFERROR(INDEX(enums[lib],MATCH(1,(enums[enum]=correspondance[[#This Row],[origin.enum]])*(enums[value]=correspondance[[#This Row],[origin.value]]),0),1),"")</f>
        <v>terre-plein</v>
      </c>
      <c r="F185" s="2" t="s">
        <v>1053</v>
      </c>
      <c r="G185" s="1" t="s">
        <v>1024</v>
      </c>
      <c r="H185" s="6" t="str">
        <f t="shared" si="2"/>
        <v>enterre</v>
      </c>
    </row>
    <row r="186" spans="1:8" x14ac:dyDescent="0.3">
      <c r="A186" s="6" t="s">
        <v>1044</v>
      </c>
      <c r="B186" s="2" t="s">
        <v>1039</v>
      </c>
      <c r="C186" s="1">
        <v>6</v>
      </c>
      <c r="D186" s="12" t="str">
        <f>IFERROR(SUBSTITUTE(_xlfn.TEXTAFTER(correspondance[[#This Row],[origin.path]],"enum_"),"_id",""),"")</f>
        <v>type_adjacence</v>
      </c>
      <c r="E186" s="12" t="str" cm="1">
        <f t="array" ref="E186">IFERROR(INDEX(enums[lib],MATCH(1,(enums[enum]=correspondance[[#This Row],[origin.enum]])*(enums[value]=correspondance[[#This Row],[origin.value]]),0),1),"")</f>
        <v>sous-sol non chauffé</v>
      </c>
      <c r="F186" s="2" t="s">
        <v>1053</v>
      </c>
      <c r="G186" s="1" t="s">
        <v>1027</v>
      </c>
      <c r="H186" s="6" t="str">
        <f t="shared" si="2"/>
        <v>sous_sol_non_chauffe</v>
      </c>
    </row>
    <row r="187" spans="1:8" x14ac:dyDescent="0.3">
      <c r="A187" s="6" t="s">
        <v>1044</v>
      </c>
      <c r="B187" s="2" t="s">
        <v>1039</v>
      </c>
      <c r="C187" s="1">
        <v>7</v>
      </c>
      <c r="D187" s="12" t="str">
        <f>IFERROR(SUBSTITUTE(_xlfn.TEXTAFTER(correspondance[[#This Row],[origin.path]],"enum_"),"_id",""),"")</f>
        <v>type_adjacence</v>
      </c>
      <c r="E187" s="12" t="str" cm="1">
        <f t="array" ref="E187">IFERROR(INDEX(enums[lib],MATCH(1,(enums[enum]=correspondance[[#This Row],[origin.enum]])*(enums[value]=correspondance[[#This Row],[origin.value]]),0),1),"")</f>
        <v>locaux non chauffés non accessible</v>
      </c>
      <c r="F187" s="2" t="s">
        <v>1053</v>
      </c>
      <c r="G187" s="1" t="s">
        <v>1028</v>
      </c>
      <c r="H187" s="6" t="str">
        <f t="shared" si="2"/>
        <v>local_non_accessible</v>
      </c>
    </row>
    <row r="188" spans="1:8" x14ac:dyDescent="0.3">
      <c r="A188" s="6" t="s">
        <v>1044</v>
      </c>
      <c r="B188" s="2" t="s">
        <v>1039</v>
      </c>
      <c r="C188" s="1">
        <v>8</v>
      </c>
      <c r="D188" s="12" t="str">
        <f>IFERROR(SUBSTITUTE(_xlfn.TEXTAFTER(correspondance[[#This Row],[origin.path]],"enum_"),"_id",""),"")</f>
        <v>type_adjacence</v>
      </c>
      <c r="E188" s="12" t="str" cm="1">
        <f t="array" ref="E188">IFERROR(INDEX(enums[lib],MATCH(1,(enums[enum]=correspondance[[#This Row],[origin.enum]])*(enums[value]=correspondance[[#This Row],[origin.value]]),0),1),"")</f>
        <v>garage</v>
      </c>
      <c r="F188" s="2" t="s">
        <v>1053</v>
      </c>
      <c r="G188" s="1" t="s">
        <v>1029</v>
      </c>
      <c r="H188" s="6" t="str">
        <f t="shared" si="2"/>
        <v>local_non_chauffe</v>
      </c>
    </row>
    <row r="189" spans="1:8" x14ac:dyDescent="0.3">
      <c r="A189" s="6" t="s">
        <v>1044</v>
      </c>
      <c r="B189" s="2" t="s">
        <v>1039</v>
      </c>
      <c r="C189" s="1">
        <v>9</v>
      </c>
      <c r="D189" s="12" t="str">
        <f>IFERROR(SUBSTITUTE(_xlfn.TEXTAFTER(correspondance[[#This Row],[origin.path]],"enum_"),"_id",""),"")</f>
        <v>type_adjacence</v>
      </c>
      <c r="E189" s="12" t="str" cm="1">
        <f t="array" ref="E189">IFERROR(INDEX(enums[lib],MATCH(1,(enums[enum]=correspondance[[#This Row],[origin.enum]])*(enums[value]=correspondance[[#This Row],[origin.value]]),0),1),"")</f>
        <v>cellier</v>
      </c>
      <c r="F189" s="2" t="s">
        <v>1053</v>
      </c>
      <c r="G189" s="1" t="s">
        <v>1029</v>
      </c>
      <c r="H189" s="6" t="str">
        <f t="shared" si="2"/>
        <v>local_non_chauffe</v>
      </c>
    </row>
    <row r="190" spans="1:8" x14ac:dyDescent="0.3">
      <c r="A190" s="6" t="s">
        <v>1044</v>
      </c>
      <c r="B190" s="2" t="s">
        <v>1039</v>
      </c>
      <c r="C190" s="1">
        <v>10</v>
      </c>
      <c r="D190" s="12" t="str">
        <f>IFERROR(SUBSTITUTE(_xlfn.TEXTAFTER(correspondance[[#This Row],[origin.path]],"enum_"),"_id",""),"")</f>
        <v>type_adjacence</v>
      </c>
      <c r="E190" s="12" t="str" cm="1">
        <f t="array" ref="E190">IFERROR(INDEX(enums[lib],MATCH(1,(enums[enum]=correspondance[[#This Row],[origin.enum]])*(enums[value]=correspondance[[#This Row],[origin.value]]),0),1),"")</f>
        <v>espace tampon solarisé (véranda,loggia fermée)</v>
      </c>
      <c r="F190" s="2" t="s">
        <v>1053</v>
      </c>
      <c r="G190" s="1" t="s">
        <v>1029</v>
      </c>
      <c r="H190" s="6" t="str">
        <f t="shared" si="2"/>
        <v>local_non_chauffe</v>
      </c>
    </row>
    <row r="191" spans="1:8" x14ac:dyDescent="0.3">
      <c r="A191" s="6" t="s">
        <v>1044</v>
      </c>
      <c r="B191" s="2" t="s">
        <v>1039</v>
      </c>
      <c r="C191" s="1">
        <v>11</v>
      </c>
      <c r="D191" s="12" t="str">
        <f>IFERROR(SUBSTITUTE(_xlfn.TEXTAFTER(correspondance[[#This Row],[origin.path]],"enum_"),"_id",""),"")</f>
        <v>type_adjacence</v>
      </c>
      <c r="E191" s="12" t="str" cm="1">
        <f t="array" ref="E191">IFERROR(INDEX(enums[lib],MATCH(1,(enums[enum]=correspondance[[#This Row],[origin.enum]])*(enums[value]=correspondance[[#This Row],[origin.value]]),0),1),"")</f>
        <v>comble fortement ventilé</v>
      </c>
      <c r="F191" s="2" t="s">
        <v>1053</v>
      </c>
      <c r="G191" s="1" t="s">
        <v>1029</v>
      </c>
      <c r="H191" s="6" t="str">
        <f t="shared" si="2"/>
        <v>local_non_chauffe</v>
      </c>
    </row>
    <row r="192" spans="1:8" x14ac:dyDescent="0.3">
      <c r="A192" s="6" t="s">
        <v>1044</v>
      </c>
      <c r="B192" s="2" t="s">
        <v>1039</v>
      </c>
      <c r="C192" s="1">
        <v>12</v>
      </c>
      <c r="D192" s="12" t="str">
        <f>IFERROR(SUBSTITUTE(_xlfn.TEXTAFTER(correspondance[[#This Row],[origin.path]],"enum_"),"_id",""),"")</f>
        <v>type_adjacence</v>
      </c>
      <c r="E192" s="12" t="str" cm="1">
        <f t="array" ref="E192">IFERROR(INDEX(enums[lib],MATCH(1,(enums[enum]=correspondance[[#This Row],[origin.enum]])*(enums[value]=correspondance[[#This Row],[origin.value]]),0),1),"")</f>
        <v>comble faiblement ventilé</v>
      </c>
      <c r="F192" s="2" t="s">
        <v>1053</v>
      </c>
      <c r="G192" s="1" t="s">
        <v>1029</v>
      </c>
      <c r="H192" s="6" t="str">
        <f t="shared" si="2"/>
        <v>local_non_chauffe</v>
      </c>
    </row>
    <row r="193" spans="1:8" x14ac:dyDescent="0.3">
      <c r="A193" s="6" t="s">
        <v>1044</v>
      </c>
      <c r="B193" s="2" t="s">
        <v>1039</v>
      </c>
      <c r="C193" s="1">
        <v>13</v>
      </c>
      <c r="D193" s="12" t="str">
        <f>IFERROR(SUBSTITUTE(_xlfn.TEXTAFTER(correspondance[[#This Row],[origin.path]],"enum_"),"_id",""),"")</f>
        <v>type_adjacence</v>
      </c>
      <c r="E193" s="12" t="str" cm="1">
        <f t="array" ref="E193">IFERROR(INDEX(enums[lib],MATCH(1,(enums[enum]=correspondance[[#This Row],[origin.enum]])*(enums[value]=correspondance[[#This Row],[origin.value]]),0),1),"")</f>
        <v>comble très faiblement ventilé</v>
      </c>
      <c r="F193" s="2" t="s">
        <v>1053</v>
      </c>
      <c r="G193" s="1" t="s">
        <v>1029</v>
      </c>
      <c r="H193" s="6" t="str">
        <f t="shared" si="2"/>
        <v>local_non_chauffe</v>
      </c>
    </row>
    <row r="194" spans="1:8" x14ac:dyDescent="0.3">
      <c r="A194" s="6" t="s">
        <v>1044</v>
      </c>
      <c r="B194" s="2" t="s">
        <v>1039</v>
      </c>
      <c r="C194" s="1">
        <v>14</v>
      </c>
      <c r="D194" s="12" t="str">
        <f>IFERROR(SUBSTITUTE(_xlfn.TEXTAFTER(correspondance[[#This Row],[origin.path]],"enum_"),"_id",""),"")</f>
        <v>type_adjacence</v>
      </c>
      <c r="E194" s="12" t="str" cm="1">
        <f t="array" ref="E194">IFERROR(INDEX(enums[lib],MATCH(1,(enums[enum]=correspondance[[#This Row],[origin.enum]])*(enums[value]=correspondance[[#This Row],[origin.value]]),0),1),"")</f>
        <v>circulation sans ouverture directe sur l'extérieur</v>
      </c>
      <c r="F194" s="2" t="s">
        <v>1053</v>
      </c>
      <c r="G194" s="1" t="s">
        <v>1029</v>
      </c>
      <c r="H194" s="6" t="str">
        <f t="shared" ref="H194:H204" si="3">LOWER(G194)</f>
        <v>local_non_chauffe</v>
      </c>
    </row>
    <row r="195" spans="1:8" x14ac:dyDescent="0.3">
      <c r="A195" s="6" t="s">
        <v>1044</v>
      </c>
      <c r="B195" s="2" t="s">
        <v>1039</v>
      </c>
      <c r="C195" s="1">
        <v>15</v>
      </c>
      <c r="D195" s="12" t="str">
        <f>IFERROR(SUBSTITUTE(_xlfn.TEXTAFTER(correspondance[[#This Row],[origin.path]],"enum_"),"_id",""),"")</f>
        <v>type_adjacence</v>
      </c>
      <c r="E195" s="12" t="str" cm="1">
        <f t="array" ref="E195">IFERROR(INDEX(enums[lib],MATCH(1,(enums[enum]=correspondance[[#This Row],[origin.enum]])*(enums[value]=correspondance[[#This Row],[origin.value]]),0),1),"")</f>
        <v>circulation avec ouverture directe sur l'extérieur</v>
      </c>
      <c r="F195" s="2" t="s">
        <v>1053</v>
      </c>
      <c r="G195" s="1" t="s">
        <v>1029</v>
      </c>
      <c r="H195" s="6" t="str">
        <f t="shared" si="3"/>
        <v>local_non_chauffe</v>
      </c>
    </row>
    <row r="196" spans="1:8" x14ac:dyDescent="0.3">
      <c r="A196" s="6" t="s">
        <v>1044</v>
      </c>
      <c r="B196" s="2" t="s">
        <v>1039</v>
      </c>
      <c r="C196" s="1">
        <v>16</v>
      </c>
      <c r="D196" s="12" t="str">
        <f>IFERROR(SUBSTITUTE(_xlfn.TEXTAFTER(correspondance[[#This Row],[origin.path]],"enum_"),"_id",""),"")</f>
        <v>type_adjacence</v>
      </c>
      <c r="E196" s="12" t="str" cm="1">
        <f t="array" ref="E196">IFERROR(INDEX(enums[lib],MATCH(1,(enums[enum]=correspondance[[#This Row],[origin.enum]])*(enums[value]=correspondance[[#This Row],[origin.value]]),0),1),"")</f>
        <v>circulation avec bouche ou gaine de désenfumage ouverte en permanence</v>
      </c>
      <c r="F196" s="2" t="s">
        <v>1053</v>
      </c>
      <c r="G196" s="1" t="s">
        <v>1029</v>
      </c>
      <c r="H196" s="6" t="str">
        <f t="shared" si="3"/>
        <v>local_non_chauffe</v>
      </c>
    </row>
    <row r="197" spans="1:8" x14ac:dyDescent="0.3">
      <c r="A197" s="6" t="s">
        <v>1044</v>
      </c>
      <c r="B197" s="2" t="s">
        <v>1039</v>
      </c>
      <c r="C197" s="1">
        <v>17</v>
      </c>
      <c r="D197" s="12" t="str">
        <f>IFERROR(SUBSTITUTE(_xlfn.TEXTAFTER(correspondance[[#This Row],[origin.path]],"enum_"),"_id",""),"")</f>
        <v>type_adjacence</v>
      </c>
      <c r="E197" s="12" t="str" cm="1">
        <f t="array" ref="E197">IFERROR(INDEX(enums[lib],MATCH(1,(enums[enum]=correspondance[[#This Row],[origin.enum]])*(enums[value]=correspondance[[#This Row],[origin.value]]),0),1),"")</f>
        <v>hall d'entrée avec dispositif de fermeture automatique</v>
      </c>
      <c r="F197" s="2" t="s">
        <v>1053</v>
      </c>
      <c r="G197" s="1" t="s">
        <v>1029</v>
      </c>
      <c r="H197" s="6" t="str">
        <f t="shared" si="3"/>
        <v>local_non_chauffe</v>
      </c>
    </row>
    <row r="198" spans="1:8" x14ac:dyDescent="0.3">
      <c r="A198" s="6" t="s">
        <v>1044</v>
      </c>
      <c r="B198" s="2" t="s">
        <v>1039</v>
      </c>
      <c r="C198" s="1">
        <v>18</v>
      </c>
      <c r="D198" s="12" t="str">
        <f>IFERROR(SUBSTITUTE(_xlfn.TEXTAFTER(correspondance[[#This Row],[origin.path]],"enum_"),"_id",""),"")</f>
        <v>type_adjacence</v>
      </c>
      <c r="E198" s="12" t="str" cm="1">
        <f t="array" ref="E198">IFERROR(INDEX(enums[lib],MATCH(1,(enums[enum]=correspondance[[#This Row],[origin.enum]])*(enums[value]=correspondance[[#This Row],[origin.value]]),0),1),"")</f>
        <v>hall d'entrée sans dispositif de fermeture automatique</v>
      </c>
      <c r="F198" s="2" t="s">
        <v>1053</v>
      </c>
      <c r="G198" s="1" t="s">
        <v>1029</v>
      </c>
      <c r="H198" s="6" t="str">
        <f t="shared" si="3"/>
        <v>local_non_chauffe</v>
      </c>
    </row>
    <row r="199" spans="1:8" x14ac:dyDescent="0.3">
      <c r="A199" s="6" t="s">
        <v>1044</v>
      </c>
      <c r="B199" s="2" t="s">
        <v>1039</v>
      </c>
      <c r="C199" s="1">
        <v>19</v>
      </c>
      <c r="D199" s="12" t="str">
        <f>IFERROR(SUBSTITUTE(_xlfn.TEXTAFTER(correspondance[[#This Row],[origin.path]],"enum_"),"_id",""),"")</f>
        <v>type_adjacence</v>
      </c>
      <c r="E199" s="12" t="str" cm="1">
        <f t="array" ref="E199">IFERROR(INDEX(enums[lib],MATCH(1,(enums[enum]=correspondance[[#This Row],[origin.enum]])*(enums[value]=correspondance[[#This Row],[origin.value]]),0),1),"")</f>
        <v>garage privé collectif</v>
      </c>
      <c r="F199" s="2" t="s">
        <v>1053</v>
      </c>
      <c r="G199" s="1" t="s">
        <v>1029</v>
      </c>
      <c r="H199" s="6" t="str">
        <f t="shared" si="3"/>
        <v>local_non_chauffe</v>
      </c>
    </row>
    <row r="200" spans="1:8" x14ac:dyDescent="0.3">
      <c r="A200" s="6" t="s">
        <v>1044</v>
      </c>
      <c r="B200" s="2" t="s">
        <v>1039</v>
      </c>
      <c r="C200" s="1">
        <v>20</v>
      </c>
      <c r="D200" s="12" t="str">
        <f>IFERROR(SUBSTITUTE(_xlfn.TEXTAFTER(correspondance[[#This Row],[origin.path]],"enum_"),"_id",""),"")</f>
        <v>type_adjacence</v>
      </c>
      <c r="E200" s="12" t="str" cm="1">
        <f t="array" ref="E200">IFERROR(INDEX(enums[lib],MATCH(1,(enums[enum]=correspondance[[#This Row],[origin.enum]])*(enums[value]=correspondance[[#This Row],[origin.value]]),0),1),"")</f>
        <v>local tertiaire à l'intérieur de l'immeuble en contact avec l'appartement</v>
      </c>
      <c r="F200" s="2" t="s">
        <v>1053</v>
      </c>
      <c r="G200" s="1" t="s">
        <v>1026</v>
      </c>
      <c r="H200" s="6" t="str">
        <f t="shared" si="3"/>
        <v>local_non_residentiel</v>
      </c>
    </row>
    <row r="201" spans="1:8" x14ac:dyDescent="0.3">
      <c r="A201" s="6" t="s">
        <v>1044</v>
      </c>
      <c r="B201" s="2" t="s">
        <v>1039</v>
      </c>
      <c r="C201" s="1">
        <v>21</v>
      </c>
      <c r="D201" s="12" t="str">
        <f>IFERROR(SUBSTITUTE(_xlfn.TEXTAFTER(correspondance[[#This Row],[origin.path]],"enum_"),"_id",""),"")</f>
        <v>type_adjacence</v>
      </c>
      <c r="E201" s="12" t="str" cm="1">
        <f t="array" ref="E201">IFERROR(INDEX(enums[lib],MATCH(1,(enums[enum]=correspondance[[#This Row],[origin.enum]])*(enums[value]=correspondance[[#This Row],[origin.value]]),0),1),"")</f>
        <v>autres dépendances</v>
      </c>
      <c r="F201" s="2" t="s">
        <v>1053</v>
      </c>
      <c r="G201" s="1" t="s">
        <v>1029</v>
      </c>
      <c r="H201" s="6" t="str">
        <f t="shared" si="3"/>
        <v>local_non_chauffe</v>
      </c>
    </row>
    <row r="202" spans="1:8" x14ac:dyDescent="0.3">
      <c r="A202" s="6" t="s">
        <v>1044</v>
      </c>
      <c r="B202" s="2" t="s">
        <v>1039</v>
      </c>
      <c r="C202" s="1">
        <v>22</v>
      </c>
      <c r="D202" s="12" t="str">
        <f>IFERROR(SUBSTITUTE(_xlfn.TEXTAFTER(correspondance[[#This Row],[origin.path]],"enum_"),"_id",""),"")</f>
        <v>type_adjacence</v>
      </c>
      <c r="E202" s="12" t="str" cm="1">
        <f t="array" ref="E202">IFERROR(INDEX(enums[lib],MATCH(1,(enums[enum]=correspondance[[#This Row],[origin.enum]])*(enums[value]=correspondance[[#This Row],[origin.value]]),0),1),"")</f>
        <v>local non déperditif ( local à usage d'habitation chauffé)</v>
      </c>
      <c r="F202" s="2" t="s">
        <v>1053</v>
      </c>
      <c r="G202" s="1" t="s">
        <v>1030</v>
      </c>
      <c r="H202" s="6" t="str">
        <f t="shared" si="3"/>
        <v>local_residentiel</v>
      </c>
    </row>
    <row r="203" spans="1:8" x14ac:dyDescent="0.3">
      <c r="A203" s="6" t="s">
        <v>1085</v>
      </c>
      <c r="B203" s="11" t="s">
        <v>1075</v>
      </c>
      <c r="C203" s="1">
        <v>0</v>
      </c>
      <c r="D203" s="12" t="str">
        <f>IFERROR(SUBSTITUTE(_xlfn.TEXTAFTER(correspondance[[#This Row],[origin.path]],"enum_"),"_id",""),"")</f>
        <v/>
      </c>
      <c r="E203" s="12" t="str" cm="1">
        <f t="array" ref="E203">IFERROR(INDEX(enums[lib],MATCH(1,(enums[enum]=correspondance[[#This Row],[origin.enum]])*(enums[value]=correspondance[[#This Row],[origin.value]]),0),1),"")</f>
        <v/>
      </c>
      <c r="F203" s="11" t="s">
        <v>1096</v>
      </c>
      <c r="G203" s="1" t="s">
        <v>1004</v>
      </c>
      <c r="H203" s="6" t="str">
        <f t="shared" si="3"/>
        <v>legere</v>
      </c>
    </row>
    <row r="204" spans="1:8" x14ac:dyDescent="0.3">
      <c r="A204" s="6" t="s">
        <v>1085</v>
      </c>
      <c r="B204" s="11" t="s">
        <v>1075</v>
      </c>
      <c r="C204" s="1">
        <v>1</v>
      </c>
      <c r="D204" s="12" t="str">
        <f>IFERROR(SUBSTITUTE(_xlfn.TEXTAFTER(correspondance[[#This Row],[origin.path]],"enum_"),"_id",""),"")</f>
        <v/>
      </c>
      <c r="E204" s="12" t="str" cm="1">
        <f t="array" ref="E204">IFERROR(INDEX(enums[lib],MATCH(1,(enums[enum]=correspondance[[#This Row],[origin.enum]])*(enums[value]=correspondance[[#This Row],[origin.value]]),0),1),"")</f>
        <v/>
      </c>
      <c r="F204" s="11" t="s">
        <v>1096</v>
      </c>
      <c r="G204" s="1" t="s">
        <v>198</v>
      </c>
      <c r="H204" s="6" t="str">
        <f t="shared" si="3"/>
        <v>lourde</v>
      </c>
    </row>
    <row r="205" spans="1:8" x14ac:dyDescent="0.3">
      <c r="A205" s="6" t="s">
        <v>1085</v>
      </c>
      <c r="B205" s="2" t="s">
        <v>1081</v>
      </c>
      <c r="C205" s="1">
        <v>1</v>
      </c>
      <c r="D205" s="12" t="str">
        <f>IFERROR(SUBSTITUTE(_xlfn.TEXTAFTER(correspondance[[#This Row],[origin.path]],"enum_"),"_id",""),"")</f>
        <v>type_isolation</v>
      </c>
      <c r="E205" s="12" t="str" cm="1">
        <f t="array" ref="E205">IFERROR(INDEX(enums[lib],MATCH(1,(enums[enum]=correspondance[[#This Row],[origin.enum]])*(enums[value]=correspondance[[#This Row],[origin.value]]),0),1),"")</f>
        <v>inconnu</v>
      </c>
      <c r="F205" s="2" t="s">
        <v>1103</v>
      </c>
      <c r="G205" s="1"/>
      <c r="H205" s="13" t="str">
        <f t="shared" ref="H205:H236" si="4">LOWER(G205)</f>
        <v/>
      </c>
    </row>
    <row r="206" spans="1:8" x14ac:dyDescent="0.3">
      <c r="A206" s="6" t="s">
        <v>1085</v>
      </c>
      <c r="B206" s="2" t="s">
        <v>1081</v>
      </c>
      <c r="C206" s="1">
        <v>2</v>
      </c>
      <c r="D206" s="12" t="str">
        <f>IFERROR(SUBSTITUTE(_xlfn.TEXTAFTER(correspondance[[#This Row],[origin.path]],"enum_"),"_id",""),"")</f>
        <v>type_isolation</v>
      </c>
      <c r="E206" s="12" t="str" cm="1">
        <f t="array" ref="E206">IFERROR(INDEX(enums[lib],MATCH(1,(enums[enum]=correspondance[[#This Row],[origin.enum]])*(enums[value]=correspondance[[#This Row],[origin.value]]),0),1),"")</f>
        <v>non isolé</v>
      </c>
      <c r="F206" s="2" t="s">
        <v>1103</v>
      </c>
      <c r="G206" s="1" t="s">
        <v>936</v>
      </c>
      <c r="H206" s="13" t="str">
        <f t="shared" si="4"/>
        <v>non_isole</v>
      </c>
    </row>
    <row r="207" spans="1:8" x14ac:dyDescent="0.3">
      <c r="A207" s="6" t="s">
        <v>1085</v>
      </c>
      <c r="B207" s="2" t="s">
        <v>1081</v>
      </c>
      <c r="C207" s="1">
        <v>3</v>
      </c>
      <c r="D207" s="12" t="str">
        <f>IFERROR(SUBSTITUTE(_xlfn.TEXTAFTER(correspondance[[#This Row],[origin.path]],"enum_"),"_id",""),"")</f>
        <v>type_isolation</v>
      </c>
      <c r="E207" s="12" t="str" cm="1">
        <f t="array" ref="E207">IFERROR(INDEX(enums[lib],MATCH(1,(enums[enum]=correspondance[[#This Row],[origin.enum]])*(enums[value]=correspondance[[#This Row],[origin.value]]),0),1),"")</f>
        <v>iti</v>
      </c>
      <c r="F207" s="2" t="s">
        <v>1103</v>
      </c>
      <c r="G207" s="1" t="s">
        <v>937</v>
      </c>
      <c r="H207" s="13" t="str">
        <f t="shared" si="4"/>
        <v>isole</v>
      </c>
    </row>
    <row r="208" spans="1:8" x14ac:dyDescent="0.3">
      <c r="A208" s="6" t="s">
        <v>1085</v>
      </c>
      <c r="B208" s="2" t="s">
        <v>1081</v>
      </c>
      <c r="C208" s="1">
        <v>4</v>
      </c>
      <c r="D208" s="12" t="str">
        <f>IFERROR(SUBSTITUTE(_xlfn.TEXTAFTER(correspondance[[#This Row],[origin.path]],"enum_"),"_id",""),"")</f>
        <v>type_isolation</v>
      </c>
      <c r="E208" s="12" t="str" cm="1">
        <f t="array" ref="E208">IFERROR(INDEX(enums[lib],MATCH(1,(enums[enum]=correspondance[[#This Row],[origin.enum]])*(enums[value]=correspondance[[#This Row],[origin.value]]),0),1),"")</f>
        <v>ite</v>
      </c>
      <c r="F208" s="2" t="s">
        <v>1103</v>
      </c>
      <c r="G208" s="1" t="s">
        <v>937</v>
      </c>
      <c r="H208" s="13" t="str">
        <f t="shared" si="4"/>
        <v>isole</v>
      </c>
    </row>
    <row r="209" spans="1:8" x14ac:dyDescent="0.3">
      <c r="A209" s="6" t="s">
        <v>1085</v>
      </c>
      <c r="B209" s="2" t="s">
        <v>1081</v>
      </c>
      <c r="C209" s="1">
        <v>5</v>
      </c>
      <c r="D209" s="12" t="str">
        <f>IFERROR(SUBSTITUTE(_xlfn.TEXTAFTER(correspondance[[#This Row],[origin.path]],"enum_"),"_id",""),"")</f>
        <v>type_isolation</v>
      </c>
      <c r="E209" s="12" t="str" cm="1">
        <f t="array" ref="E209">IFERROR(INDEX(enums[lib],MATCH(1,(enums[enum]=correspondance[[#This Row],[origin.enum]])*(enums[value]=correspondance[[#This Row],[origin.value]]),0),1),"")</f>
        <v>itr</v>
      </c>
      <c r="F209" s="2" t="s">
        <v>1103</v>
      </c>
      <c r="G209" s="1" t="s">
        <v>937</v>
      </c>
      <c r="H209" s="13" t="str">
        <f t="shared" si="4"/>
        <v>isole</v>
      </c>
    </row>
    <row r="210" spans="1:8" x14ac:dyDescent="0.3">
      <c r="A210" s="6" t="s">
        <v>1085</v>
      </c>
      <c r="B210" s="2" t="s">
        <v>1081</v>
      </c>
      <c r="C210" s="1">
        <v>6</v>
      </c>
      <c r="D210" s="12" t="str">
        <f>IFERROR(SUBSTITUTE(_xlfn.TEXTAFTER(correspondance[[#This Row],[origin.path]],"enum_"),"_id",""),"")</f>
        <v>type_isolation</v>
      </c>
      <c r="E210" s="12" t="str" cm="1">
        <f t="array" ref="E210">IFERROR(INDEX(enums[lib],MATCH(1,(enums[enum]=correspondance[[#This Row],[origin.enum]])*(enums[value]=correspondance[[#This Row],[origin.value]]),0),1),"")</f>
        <v>iti+ite</v>
      </c>
      <c r="F210" s="2" t="s">
        <v>1103</v>
      </c>
      <c r="G210" s="1" t="s">
        <v>937</v>
      </c>
      <c r="H210" s="13" t="str">
        <f t="shared" si="4"/>
        <v>isole</v>
      </c>
    </row>
    <row r="211" spans="1:8" x14ac:dyDescent="0.3">
      <c r="A211" s="6" t="s">
        <v>1085</v>
      </c>
      <c r="B211" s="2" t="s">
        <v>1081</v>
      </c>
      <c r="C211" s="1">
        <v>7</v>
      </c>
      <c r="D211" s="12" t="str">
        <f>IFERROR(SUBSTITUTE(_xlfn.TEXTAFTER(correspondance[[#This Row],[origin.path]],"enum_"),"_id",""),"")</f>
        <v>type_isolation</v>
      </c>
      <c r="E211" s="12" t="str" cm="1">
        <f t="array" ref="E211">IFERROR(INDEX(enums[lib],MATCH(1,(enums[enum]=correspondance[[#This Row],[origin.enum]])*(enums[value]=correspondance[[#This Row],[origin.value]]),0),1),"")</f>
        <v>iti+itr</v>
      </c>
      <c r="F211" s="2" t="s">
        <v>1103</v>
      </c>
      <c r="G211" s="1" t="s">
        <v>937</v>
      </c>
      <c r="H211" s="13" t="str">
        <f t="shared" si="4"/>
        <v>isole</v>
      </c>
    </row>
    <row r="212" spans="1:8" x14ac:dyDescent="0.3">
      <c r="A212" s="6" t="s">
        <v>1085</v>
      </c>
      <c r="B212" s="2" t="s">
        <v>1081</v>
      </c>
      <c r="C212" s="1">
        <v>8</v>
      </c>
      <c r="D212" s="12" t="str">
        <f>IFERROR(SUBSTITUTE(_xlfn.TEXTAFTER(correspondance[[#This Row],[origin.path]],"enum_"),"_id",""),"")</f>
        <v>type_isolation</v>
      </c>
      <c r="E212" s="12" t="str" cm="1">
        <f t="array" ref="E212">IFERROR(INDEX(enums[lib],MATCH(1,(enums[enum]=correspondance[[#This Row],[origin.enum]])*(enums[value]=correspondance[[#This Row],[origin.value]]),0),1),"")</f>
        <v>ite+itr</v>
      </c>
      <c r="F212" s="2" t="s">
        <v>1103</v>
      </c>
      <c r="G212" s="1" t="s">
        <v>937</v>
      </c>
      <c r="H212" s="13" t="str">
        <f t="shared" si="4"/>
        <v>isole</v>
      </c>
    </row>
    <row r="213" spans="1:8" x14ac:dyDescent="0.3">
      <c r="A213" s="6" t="s">
        <v>1085</v>
      </c>
      <c r="B213" s="2" t="s">
        <v>1081</v>
      </c>
      <c r="C213" s="1">
        <v>9</v>
      </c>
      <c r="D213" s="12" t="str">
        <f>IFERROR(SUBSTITUTE(_xlfn.TEXTAFTER(correspondance[[#This Row],[origin.path]],"enum_"),"_id",""),"")</f>
        <v>type_isolation</v>
      </c>
      <c r="E213" s="12" t="str" cm="1">
        <f t="array" ref="E213">IFERROR(INDEX(enums[lib],MATCH(1,(enums[enum]=correspondance[[#This Row],[origin.enum]])*(enums[value]=correspondance[[#This Row],[origin.value]]),0),1),"")</f>
        <v>isolé mais type d'isolation inconnu</v>
      </c>
      <c r="F213" s="2" t="s">
        <v>1103</v>
      </c>
      <c r="G213" s="1" t="s">
        <v>937</v>
      </c>
      <c r="H213" s="13" t="str">
        <f t="shared" si="4"/>
        <v>isole</v>
      </c>
    </row>
    <row r="214" spans="1:8" x14ac:dyDescent="0.3">
      <c r="A214" s="6" t="s">
        <v>1085</v>
      </c>
      <c r="B214" s="2" t="s">
        <v>1081</v>
      </c>
      <c r="C214" s="1">
        <v>1</v>
      </c>
      <c r="D214" s="12" t="str">
        <f>IFERROR(SUBSTITUTE(_xlfn.TEXTAFTER(correspondance[[#This Row],[origin.path]],"enum_"),"_id",""),"")</f>
        <v>type_isolation</v>
      </c>
      <c r="E214" s="12" t="str" cm="1">
        <f t="array" ref="E214">IFERROR(INDEX(enums[lib],MATCH(1,(enums[enum]=correspondance[[#This Row],[origin.enum]])*(enums[value]=correspondance[[#This Row],[origin.value]]),0),1),"")</f>
        <v>inconnu</v>
      </c>
      <c r="F214" s="2" t="s">
        <v>1103</v>
      </c>
      <c r="G214" s="1"/>
      <c r="H214" s="13" t="str">
        <f t="shared" si="4"/>
        <v/>
      </c>
    </row>
    <row r="215" spans="1:8" x14ac:dyDescent="0.3">
      <c r="A215" s="6" t="s">
        <v>1085</v>
      </c>
      <c r="B215" s="2" t="s">
        <v>1081</v>
      </c>
      <c r="C215" s="1">
        <v>2</v>
      </c>
      <c r="D215" s="12" t="str">
        <f>IFERROR(SUBSTITUTE(_xlfn.TEXTAFTER(correspondance[[#This Row],[origin.path]],"enum_"),"_id",""),"")</f>
        <v>type_isolation</v>
      </c>
      <c r="E215" s="12" t="str" cm="1">
        <f t="array" ref="E215">IFERROR(INDEX(enums[lib],MATCH(1,(enums[enum]=correspondance[[#This Row],[origin.enum]])*(enums[value]=correspondance[[#This Row],[origin.value]]),0),1),"")</f>
        <v>non isolé</v>
      </c>
      <c r="F215" s="2" t="s">
        <v>1103</v>
      </c>
      <c r="G215" s="1" t="s">
        <v>938</v>
      </c>
      <c r="H215" s="13" t="str">
        <f t="shared" si="4"/>
        <v/>
      </c>
    </row>
    <row r="216" spans="1:8" x14ac:dyDescent="0.3">
      <c r="A216" s="6" t="s">
        <v>1085</v>
      </c>
      <c r="B216" s="2" t="s">
        <v>1081</v>
      </c>
      <c r="C216" s="1">
        <v>3</v>
      </c>
      <c r="D216" s="12" t="str">
        <f>IFERROR(SUBSTITUTE(_xlfn.TEXTAFTER(correspondance[[#This Row],[origin.path]],"enum_"),"_id",""),"")</f>
        <v>type_isolation</v>
      </c>
      <c r="E216" s="12" t="str" cm="1">
        <f t="array" ref="E216">IFERROR(INDEX(enums[lib],MATCH(1,(enums[enum]=correspondance[[#This Row],[origin.enum]])*(enums[value]=correspondance[[#This Row],[origin.value]]),0),1),"")</f>
        <v>iti</v>
      </c>
      <c r="F216" s="2" t="s">
        <v>1103</v>
      </c>
      <c r="G216" s="1" t="s">
        <v>265</v>
      </c>
      <c r="H216" s="13" t="str">
        <f t="shared" si="4"/>
        <v>iti</v>
      </c>
    </row>
    <row r="217" spans="1:8" x14ac:dyDescent="0.3">
      <c r="A217" s="6" t="s">
        <v>1085</v>
      </c>
      <c r="B217" s="2" t="s">
        <v>1081</v>
      </c>
      <c r="C217" s="1">
        <v>4</v>
      </c>
      <c r="D217" s="12" t="str">
        <f>IFERROR(SUBSTITUTE(_xlfn.TEXTAFTER(correspondance[[#This Row],[origin.path]],"enum_"),"_id",""),"")</f>
        <v>type_isolation</v>
      </c>
      <c r="E217" s="12" t="str" cm="1">
        <f t="array" ref="E217">IFERROR(INDEX(enums[lib],MATCH(1,(enums[enum]=correspondance[[#This Row],[origin.enum]])*(enums[value]=correspondance[[#This Row],[origin.value]]),0),1),"")</f>
        <v>ite</v>
      </c>
      <c r="F217" s="2" t="s">
        <v>1103</v>
      </c>
      <c r="G217" s="1" t="s">
        <v>266</v>
      </c>
      <c r="H217" s="13" t="str">
        <f t="shared" si="4"/>
        <v>ite</v>
      </c>
    </row>
    <row r="218" spans="1:8" x14ac:dyDescent="0.3">
      <c r="A218" s="6" t="s">
        <v>1085</v>
      </c>
      <c r="B218" s="2" t="s">
        <v>1081</v>
      </c>
      <c r="C218" s="1">
        <v>5</v>
      </c>
      <c r="D218" s="12" t="str">
        <f>IFERROR(SUBSTITUTE(_xlfn.TEXTAFTER(correspondance[[#This Row],[origin.path]],"enum_"),"_id",""),"")</f>
        <v>type_isolation</v>
      </c>
      <c r="E218" s="12" t="str" cm="1">
        <f t="array" ref="E218">IFERROR(INDEX(enums[lib],MATCH(1,(enums[enum]=correspondance[[#This Row],[origin.enum]])*(enums[value]=correspondance[[#This Row],[origin.value]]),0),1),"")</f>
        <v>itr</v>
      </c>
      <c r="F218" s="2" t="s">
        <v>1103</v>
      </c>
      <c r="G218" s="1" t="s">
        <v>267</v>
      </c>
      <c r="H218" s="13" t="str">
        <f t="shared" si="4"/>
        <v>itr</v>
      </c>
    </row>
    <row r="219" spans="1:8" x14ac:dyDescent="0.3">
      <c r="A219" s="6" t="s">
        <v>1085</v>
      </c>
      <c r="B219" s="2" t="s">
        <v>1081</v>
      </c>
      <c r="C219" s="1">
        <v>6</v>
      </c>
      <c r="D219" s="12" t="str">
        <f>IFERROR(SUBSTITUTE(_xlfn.TEXTAFTER(correspondance[[#This Row],[origin.path]],"enum_"),"_id",""),"")</f>
        <v>type_isolation</v>
      </c>
      <c r="E219" s="12" t="str" cm="1">
        <f t="array" ref="E219">IFERROR(INDEX(enums[lib],MATCH(1,(enums[enum]=correspondance[[#This Row],[origin.enum]])*(enums[value]=correspondance[[#This Row],[origin.value]]),0),1),"")</f>
        <v>iti+ite</v>
      </c>
      <c r="F219" s="2" t="s">
        <v>1103</v>
      </c>
      <c r="G219" s="1" t="s">
        <v>1006</v>
      </c>
      <c r="H219" s="13" t="str">
        <f t="shared" si="4"/>
        <v>iti_ite</v>
      </c>
    </row>
    <row r="220" spans="1:8" x14ac:dyDescent="0.3">
      <c r="A220" s="6" t="s">
        <v>1085</v>
      </c>
      <c r="B220" s="2" t="s">
        <v>1081</v>
      </c>
      <c r="C220" s="1">
        <v>7</v>
      </c>
      <c r="D220" s="12" t="str">
        <f>IFERROR(SUBSTITUTE(_xlfn.TEXTAFTER(correspondance[[#This Row],[origin.path]],"enum_"),"_id",""),"")</f>
        <v>type_isolation</v>
      </c>
      <c r="E220" s="12" t="str" cm="1">
        <f t="array" ref="E220">IFERROR(INDEX(enums[lib],MATCH(1,(enums[enum]=correspondance[[#This Row],[origin.enum]])*(enums[value]=correspondance[[#This Row],[origin.value]]),0),1),"")</f>
        <v>iti+itr</v>
      </c>
      <c r="F220" s="2" t="s">
        <v>1103</v>
      </c>
      <c r="G220" s="1" t="s">
        <v>1007</v>
      </c>
      <c r="H220" s="13" t="str">
        <f t="shared" si="4"/>
        <v>itr_iti</v>
      </c>
    </row>
    <row r="221" spans="1:8" x14ac:dyDescent="0.3">
      <c r="A221" s="6" t="s">
        <v>1085</v>
      </c>
      <c r="B221" s="2" t="s">
        <v>1081</v>
      </c>
      <c r="C221" s="1">
        <v>8</v>
      </c>
      <c r="D221" s="12" t="str">
        <f>IFERROR(SUBSTITUTE(_xlfn.TEXTAFTER(correspondance[[#This Row],[origin.path]],"enum_"),"_id",""),"")</f>
        <v>type_isolation</v>
      </c>
      <c r="E221" s="12" t="str" cm="1">
        <f t="array" ref="E221">IFERROR(INDEX(enums[lib],MATCH(1,(enums[enum]=correspondance[[#This Row],[origin.enum]])*(enums[value]=correspondance[[#This Row],[origin.value]]),0),1),"")</f>
        <v>ite+itr</v>
      </c>
      <c r="F221" s="2" t="s">
        <v>1103</v>
      </c>
      <c r="G221" s="1" t="s">
        <v>1008</v>
      </c>
      <c r="H221" s="13" t="str">
        <f t="shared" si="4"/>
        <v>itr_ite</v>
      </c>
    </row>
    <row r="222" spans="1:8" x14ac:dyDescent="0.3">
      <c r="A222" s="6" t="s">
        <v>1085</v>
      </c>
      <c r="B222" s="2" t="s">
        <v>1081</v>
      </c>
      <c r="C222" s="1">
        <v>9</v>
      </c>
      <c r="D222" s="12" t="str">
        <f>IFERROR(SUBSTITUTE(_xlfn.TEXTAFTER(correspondance[[#This Row],[origin.path]],"enum_"),"_id",""),"")</f>
        <v>type_isolation</v>
      </c>
      <c r="E222" s="12" t="str" cm="1">
        <f t="array" ref="E222">IFERROR(INDEX(enums[lib],MATCH(1,(enums[enum]=correspondance[[#This Row],[origin.enum]])*(enums[value]=correspondance[[#This Row],[origin.value]]),0),1),"")</f>
        <v>isolé mais type d'isolation inconnu</v>
      </c>
      <c r="F222" s="2" t="s">
        <v>1103</v>
      </c>
      <c r="G222" s="1"/>
      <c r="H222" s="13" t="str">
        <f t="shared" si="4"/>
        <v/>
      </c>
    </row>
    <row r="223" spans="1:8" x14ac:dyDescent="0.3">
      <c r="A223" s="6" t="s">
        <v>1085</v>
      </c>
      <c r="B223" s="2" t="s">
        <v>1079</v>
      </c>
      <c r="C223" s="1">
        <v>1</v>
      </c>
      <c r="D223" s="12" t="str">
        <f>IFERROR(SUBSTITUTE(_xlfn.TEXTAFTER(correspondance[[#This Row],[origin.path]],"enum_"),"_id",""),"")</f>
        <v>type_adjacence</v>
      </c>
      <c r="E223" s="12" t="str" cm="1">
        <f t="array" ref="E223">IFERROR(INDEX(enums[lib],MATCH(1,(enums[enum]=correspondance[[#This Row],[origin.enum]])*(enums[value]=correspondance[[#This Row],[origin.value]]),0),1),"")</f>
        <v>extérieur</v>
      </c>
      <c r="F223" s="2" t="s">
        <v>1100</v>
      </c>
      <c r="G223" s="1" t="s">
        <v>1023</v>
      </c>
      <c r="H223" s="13" t="str">
        <f t="shared" si="4"/>
        <v>exterieur</v>
      </c>
    </row>
    <row r="224" spans="1:8" x14ac:dyDescent="0.3">
      <c r="A224" s="6" t="s">
        <v>1085</v>
      </c>
      <c r="B224" s="2" t="s">
        <v>1079</v>
      </c>
      <c r="C224" s="1">
        <v>2</v>
      </c>
      <c r="D224" s="12" t="str">
        <f>IFERROR(SUBSTITUTE(_xlfn.TEXTAFTER(correspondance[[#This Row],[origin.path]],"enum_"),"_id",""),"")</f>
        <v>type_adjacence</v>
      </c>
      <c r="E224" s="12" t="str" cm="1">
        <f t="array" ref="E224">IFERROR(INDEX(enums[lib],MATCH(1,(enums[enum]=correspondance[[#This Row],[origin.enum]])*(enums[value]=correspondance[[#This Row],[origin.value]]),0),1),"")</f>
        <v>paroi enterrée</v>
      </c>
      <c r="F224" s="2" t="s">
        <v>1100</v>
      </c>
      <c r="G224" s="1" t="s">
        <v>1024</v>
      </c>
      <c r="H224" s="13" t="str">
        <f t="shared" si="4"/>
        <v>enterre</v>
      </c>
    </row>
    <row r="225" spans="1:8" x14ac:dyDescent="0.3">
      <c r="A225" s="6" t="s">
        <v>1085</v>
      </c>
      <c r="B225" s="2" t="s">
        <v>1079</v>
      </c>
      <c r="C225" s="1">
        <v>3</v>
      </c>
      <c r="D225" s="12" t="str">
        <f>IFERROR(SUBSTITUTE(_xlfn.TEXTAFTER(correspondance[[#This Row],[origin.path]],"enum_"),"_id",""),"")</f>
        <v>type_adjacence</v>
      </c>
      <c r="E225" s="12" t="str" cm="1">
        <f t="array" ref="E225">IFERROR(INDEX(enums[lib],MATCH(1,(enums[enum]=correspondance[[#This Row],[origin.enum]])*(enums[value]=correspondance[[#This Row],[origin.value]]),0),1),"")</f>
        <v>vide sanitaire</v>
      </c>
      <c r="F225" s="2" t="s">
        <v>1100</v>
      </c>
      <c r="G225" s="1" t="s">
        <v>1025</v>
      </c>
      <c r="H225" s="13" t="str">
        <f t="shared" si="4"/>
        <v>vide_sanitaire</v>
      </c>
    </row>
    <row r="226" spans="1:8" x14ac:dyDescent="0.3">
      <c r="A226" s="6" t="s">
        <v>1085</v>
      </c>
      <c r="B226" s="2" t="s">
        <v>1079</v>
      </c>
      <c r="C226" s="1">
        <v>4</v>
      </c>
      <c r="D226" s="12" t="str">
        <f>IFERROR(SUBSTITUTE(_xlfn.TEXTAFTER(correspondance[[#This Row],[origin.path]],"enum_"),"_id",""),"")</f>
        <v>type_adjacence</v>
      </c>
      <c r="E226" s="12" t="str" cm="1">
        <f t="array" ref="E226">IFERROR(INDEX(enums[lib],MATCH(1,(enums[enum]=correspondance[[#This Row],[origin.enum]])*(enums[value]=correspondance[[#This Row],[origin.value]]),0),1),"")</f>
        <v>bâtiment ou local à usage autre que d'habitation</v>
      </c>
      <c r="F226" s="2" t="s">
        <v>1100</v>
      </c>
      <c r="G226" s="1" t="s">
        <v>1026</v>
      </c>
      <c r="H226" s="13" t="str">
        <f t="shared" si="4"/>
        <v>local_non_residentiel</v>
      </c>
    </row>
    <row r="227" spans="1:8" x14ac:dyDescent="0.3">
      <c r="A227" s="6" t="s">
        <v>1085</v>
      </c>
      <c r="B227" s="2" t="s">
        <v>1079</v>
      </c>
      <c r="C227" s="1">
        <v>5</v>
      </c>
      <c r="D227" s="12" t="str">
        <f>IFERROR(SUBSTITUTE(_xlfn.TEXTAFTER(correspondance[[#This Row],[origin.path]],"enum_"),"_id",""),"")</f>
        <v>type_adjacence</v>
      </c>
      <c r="E227" s="12" t="str" cm="1">
        <f t="array" ref="E227">IFERROR(INDEX(enums[lib],MATCH(1,(enums[enum]=correspondance[[#This Row],[origin.enum]])*(enums[value]=correspondance[[#This Row],[origin.value]]),0),1),"")</f>
        <v>terre-plein</v>
      </c>
      <c r="F227" s="2" t="s">
        <v>1100</v>
      </c>
      <c r="G227" s="1" t="s">
        <v>1024</v>
      </c>
      <c r="H227" s="13" t="str">
        <f t="shared" si="4"/>
        <v>enterre</v>
      </c>
    </row>
    <row r="228" spans="1:8" x14ac:dyDescent="0.3">
      <c r="A228" s="6" t="s">
        <v>1085</v>
      </c>
      <c r="B228" s="2" t="s">
        <v>1079</v>
      </c>
      <c r="C228" s="1">
        <v>6</v>
      </c>
      <c r="D228" s="12" t="str">
        <f>IFERROR(SUBSTITUTE(_xlfn.TEXTAFTER(correspondance[[#This Row],[origin.path]],"enum_"),"_id",""),"")</f>
        <v>type_adjacence</v>
      </c>
      <c r="E228" s="12" t="str" cm="1">
        <f t="array" ref="E228">IFERROR(INDEX(enums[lib],MATCH(1,(enums[enum]=correspondance[[#This Row],[origin.enum]])*(enums[value]=correspondance[[#This Row],[origin.value]]),0),1),"")</f>
        <v>sous-sol non chauffé</v>
      </c>
      <c r="F228" s="2" t="s">
        <v>1100</v>
      </c>
      <c r="G228" s="1" t="s">
        <v>1027</v>
      </c>
      <c r="H228" s="13" t="str">
        <f t="shared" si="4"/>
        <v>sous_sol_non_chauffe</v>
      </c>
    </row>
    <row r="229" spans="1:8" x14ac:dyDescent="0.3">
      <c r="A229" s="6" t="s">
        <v>1085</v>
      </c>
      <c r="B229" s="2" t="s">
        <v>1079</v>
      </c>
      <c r="C229" s="1">
        <v>7</v>
      </c>
      <c r="D229" s="12" t="str">
        <f>IFERROR(SUBSTITUTE(_xlfn.TEXTAFTER(correspondance[[#This Row],[origin.path]],"enum_"),"_id",""),"")</f>
        <v>type_adjacence</v>
      </c>
      <c r="E229" s="12" t="str" cm="1">
        <f t="array" ref="E229">IFERROR(INDEX(enums[lib],MATCH(1,(enums[enum]=correspondance[[#This Row],[origin.enum]])*(enums[value]=correspondance[[#This Row],[origin.value]]),0),1),"")</f>
        <v>locaux non chauffés non accessible</v>
      </c>
      <c r="F229" s="2" t="s">
        <v>1100</v>
      </c>
      <c r="G229" s="1" t="s">
        <v>1028</v>
      </c>
      <c r="H229" s="13" t="str">
        <f t="shared" si="4"/>
        <v>local_non_accessible</v>
      </c>
    </row>
    <row r="230" spans="1:8" x14ac:dyDescent="0.3">
      <c r="A230" s="6" t="s">
        <v>1085</v>
      </c>
      <c r="B230" s="2" t="s">
        <v>1079</v>
      </c>
      <c r="C230" s="1">
        <v>8</v>
      </c>
      <c r="D230" s="12" t="str">
        <f>IFERROR(SUBSTITUTE(_xlfn.TEXTAFTER(correspondance[[#This Row],[origin.path]],"enum_"),"_id",""),"")</f>
        <v>type_adjacence</v>
      </c>
      <c r="E230" s="12" t="str" cm="1">
        <f t="array" ref="E230">IFERROR(INDEX(enums[lib],MATCH(1,(enums[enum]=correspondance[[#This Row],[origin.enum]])*(enums[value]=correspondance[[#This Row],[origin.value]]),0),1),"")</f>
        <v>garage</v>
      </c>
      <c r="F230" s="2" t="s">
        <v>1100</v>
      </c>
      <c r="G230" s="1" t="s">
        <v>1029</v>
      </c>
      <c r="H230" s="13" t="str">
        <f t="shared" si="4"/>
        <v>local_non_chauffe</v>
      </c>
    </row>
    <row r="231" spans="1:8" x14ac:dyDescent="0.3">
      <c r="A231" s="6" t="s">
        <v>1085</v>
      </c>
      <c r="B231" s="2" t="s">
        <v>1079</v>
      </c>
      <c r="C231" s="1">
        <v>9</v>
      </c>
      <c r="D231" s="12" t="str">
        <f>IFERROR(SUBSTITUTE(_xlfn.TEXTAFTER(correspondance[[#This Row],[origin.path]],"enum_"),"_id",""),"")</f>
        <v>type_adjacence</v>
      </c>
      <c r="E231" s="12" t="str" cm="1">
        <f t="array" ref="E231">IFERROR(INDEX(enums[lib],MATCH(1,(enums[enum]=correspondance[[#This Row],[origin.enum]])*(enums[value]=correspondance[[#This Row],[origin.value]]),0),1),"")</f>
        <v>cellier</v>
      </c>
      <c r="F231" s="2" t="s">
        <v>1100</v>
      </c>
      <c r="G231" s="1" t="s">
        <v>1029</v>
      </c>
      <c r="H231" s="13" t="str">
        <f t="shared" si="4"/>
        <v>local_non_chauffe</v>
      </c>
    </row>
    <row r="232" spans="1:8" x14ac:dyDescent="0.3">
      <c r="A232" s="6" t="s">
        <v>1085</v>
      </c>
      <c r="B232" s="2" t="s">
        <v>1079</v>
      </c>
      <c r="C232" s="1">
        <v>10</v>
      </c>
      <c r="D232" s="12" t="str">
        <f>IFERROR(SUBSTITUTE(_xlfn.TEXTAFTER(correspondance[[#This Row],[origin.path]],"enum_"),"_id",""),"")</f>
        <v>type_adjacence</v>
      </c>
      <c r="E232" s="12" t="str" cm="1">
        <f t="array" ref="E232">IFERROR(INDEX(enums[lib],MATCH(1,(enums[enum]=correspondance[[#This Row],[origin.enum]])*(enums[value]=correspondance[[#This Row],[origin.value]]),0),1),"")</f>
        <v>espace tampon solarisé (véranda,loggia fermée)</v>
      </c>
      <c r="F232" s="2" t="s">
        <v>1100</v>
      </c>
      <c r="G232" s="1" t="s">
        <v>1029</v>
      </c>
      <c r="H232" s="13" t="str">
        <f t="shared" si="4"/>
        <v>local_non_chauffe</v>
      </c>
    </row>
    <row r="233" spans="1:8" x14ac:dyDescent="0.3">
      <c r="A233" s="6" t="s">
        <v>1085</v>
      </c>
      <c r="B233" s="2" t="s">
        <v>1079</v>
      </c>
      <c r="C233" s="1">
        <v>11</v>
      </c>
      <c r="D233" s="12" t="str">
        <f>IFERROR(SUBSTITUTE(_xlfn.TEXTAFTER(correspondance[[#This Row],[origin.path]],"enum_"),"_id",""),"")</f>
        <v>type_adjacence</v>
      </c>
      <c r="E233" s="12" t="str" cm="1">
        <f t="array" ref="E233">IFERROR(INDEX(enums[lib],MATCH(1,(enums[enum]=correspondance[[#This Row],[origin.enum]])*(enums[value]=correspondance[[#This Row],[origin.value]]),0),1),"")</f>
        <v>comble fortement ventilé</v>
      </c>
      <c r="F233" s="2" t="s">
        <v>1100</v>
      </c>
      <c r="G233" s="1" t="s">
        <v>1029</v>
      </c>
      <c r="H233" s="13" t="str">
        <f t="shared" si="4"/>
        <v>local_non_chauffe</v>
      </c>
    </row>
    <row r="234" spans="1:8" x14ac:dyDescent="0.3">
      <c r="A234" s="6" t="s">
        <v>1085</v>
      </c>
      <c r="B234" s="2" t="s">
        <v>1079</v>
      </c>
      <c r="C234" s="1">
        <v>12</v>
      </c>
      <c r="D234" s="12" t="str">
        <f>IFERROR(SUBSTITUTE(_xlfn.TEXTAFTER(correspondance[[#This Row],[origin.path]],"enum_"),"_id",""),"")</f>
        <v>type_adjacence</v>
      </c>
      <c r="E234" s="12" t="str" cm="1">
        <f t="array" ref="E234">IFERROR(INDEX(enums[lib],MATCH(1,(enums[enum]=correspondance[[#This Row],[origin.enum]])*(enums[value]=correspondance[[#This Row],[origin.value]]),0),1),"")</f>
        <v>comble faiblement ventilé</v>
      </c>
      <c r="F234" s="2" t="s">
        <v>1100</v>
      </c>
      <c r="G234" s="1" t="s">
        <v>1029</v>
      </c>
      <c r="H234" s="13" t="str">
        <f t="shared" si="4"/>
        <v>local_non_chauffe</v>
      </c>
    </row>
    <row r="235" spans="1:8" x14ac:dyDescent="0.3">
      <c r="A235" s="6" t="s">
        <v>1085</v>
      </c>
      <c r="B235" s="2" t="s">
        <v>1079</v>
      </c>
      <c r="C235" s="1">
        <v>13</v>
      </c>
      <c r="D235" s="12" t="str">
        <f>IFERROR(SUBSTITUTE(_xlfn.TEXTAFTER(correspondance[[#This Row],[origin.path]],"enum_"),"_id",""),"")</f>
        <v>type_adjacence</v>
      </c>
      <c r="E235" s="12" t="str" cm="1">
        <f t="array" ref="E235">IFERROR(INDEX(enums[lib],MATCH(1,(enums[enum]=correspondance[[#This Row],[origin.enum]])*(enums[value]=correspondance[[#This Row],[origin.value]]),0),1),"")</f>
        <v>comble très faiblement ventilé</v>
      </c>
      <c r="F235" s="2" t="s">
        <v>1100</v>
      </c>
      <c r="G235" s="1" t="s">
        <v>1029</v>
      </c>
      <c r="H235" s="13" t="str">
        <f t="shared" si="4"/>
        <v>local_non_chauffe</v>
      </c>
    </row>
    <row r="236" spans="1:8" x14ac:dyDescent="0.3">
      <c r="A236" s="6" t="s">
        <v>1085</v>
      </c>
      <c r="B236" s="2" t="s">
        <v>1079</v>
      </c>
      <c r="C236" s="1">
        <v>14</v>
      </c>
      <c r="D236" s="12" t="str">
        <f>IFERROR(SUBSTITUTE(_xlfn.TEXTAFTER(correspondance[[#This Row],[origin.path]],"enum_"),"_id",""),"")</f>
        <v>type_adjacence</v>
      </c>
      <c r="E236" s="12" t="str" cm="1">
        <f t="array" ref="E236">IFERROR(INDEX(enums[lib],MATCH(1,(enums[enum]=correspondance[[#This Row],[origin.enum]])*(enums[value]=correspondance[[#This Row],[origin.value]]),0),1),"")</f>
        <v>circulation sans ouverture directe sur l'extérieur</v>
      </c>
      <c r="F236" s="2" t="s">
        <v>1100</v>
      </c>
      <c r="G236" s="1" t="s">
        <v>1029</v>
      </c>
      <c r="H236" s="13" t="str">
        <f t="shared" si="4"/>
        <v>local_non_chauffe</v>
      </c>
    </row>
    <row r="237" spans="1:8" x14ac:dyDescent="0.3">
      <c r="A237" s="6" t="s">
        <v>1085</v>
      </c>
      <c r="B237" s="2" t="s">
        <v>1079</v>
      </c>
      <c r="C237" s="1">
        <v>15</v>
      </c>
      <c r="D237" s="12" t="str">
        <f>IFERROR(SUBSTITUTE(_xlfn.TEXTAFTER(correspondance[[#This Row],[origin.path]],"enum_"),"_id",""),"")</f>
        <v>type_adjacence</v>
      </c>
      <c r="E237" s="12" t="str" cm="1">
        <f t="array" ref="E237">IFERROR(INDEX(enums[lib],MATCH(1,(enums[enum]=correspondance[[#This Row],[origin.enum]])*(enums[value]=correspondance[[#This Row],[origin.value]]),0),1),"")</f>
        <v>circulation avec ouverture directe sur l'extérieur</v>
      </c>
      <c r="F237" s="2" t="s">
        <v>1100</v>
      </c>
      <c r="G237" s="1" t="s">
        <v>1029</v>
      </c>
      <c r="H237" s="13" t="str">
        <f t="shared" ref="H237:H268" si="5">LOWER(G237)</f>
        <v>local_non_chauffe</v>
      </c>
    </row>
    <row r="238" spans="1:8" x14ac:dyDescent="0.3">
      <c r="A238" s="6" t="s">
        <v>1085</v>
      </c>
      <c r="B238" s="2" t="s">
        <v>1079</v>
      </c>
      <c r="C238" s="1">
        <v>16</v>
      </c>
      <c r="D238" s="12" t="str">
        <f>IFERROR(SUBSTITUTE(_xlfn.TEXTAFTER(correspondance[[#This Row],[origin.path]],"enum_"),"_id",""),"")</f>
        <v>type_adjacence</v>
      </c>
      <c r="E238" s="12" t="str" cm="1">
        <f t="array" ref="E238">IFERROR(INDEX(enums[lib],MATCH(1,(enums[enum]=correspondance[[#This Row],[origin.enum]])*(enums[value]=correspondance[[#This Row],[origin.value]]),0),1),"")</f>
        <v>circulation avec bouche ou gaine de désenfumage ouverte en permanence</v>
      </c>
      <c r="F238" s="2" t="s">
        <v>1100</v>
      </c>
      <c r="G238" s="1" t="s">
        <v>1029</v>
      </c>
      <c r="H238" s="13" t="str">
        <f t="shared" si="5"/>
        <v>local_non_chauffe</v>
      </c>
    </row>
    <row r="239" spans="1:8" x14ac:dyDescent="0.3">
      <c r="A239" s="6" t="s">
        <v>1085</v>
      </c>
      <c r="B239" s="2" t="s">
        <v>1079</v>
      </c>
      <c r="C239" s="1">
        <v>17</v>
      </c>
      <c r="D239" s="12" t="str">
        <f>IFERROR(SUBSTITUTE(_xlfn.TEXTAFTER(correspondance[[#This Row],[origin.path]],"enum_"),"_id",""),"")</f>
        <v>type_adjacence</v>
      </c>
      <c r="E239" s="12" t="str" cm="1">
        <f t="array" ref="E239">IFERROR(INDEX(enums[lib],MATCH(1,(enums[enum]=correspondance[[#This Row],[origin.enum]])*(enums[value]=correspondance[[#This Row],[origin.value]]),0),1),"")</f>
        <v>hall d'entrée avec dispositif de fermeture automatique</v>
      </c>
      <c r="F239" s="2" t="s">
        <v>1100</v>
      </c>
      <c r="G239" s="1" t="s">
        <v>1029</v>
      </c>
      <c r="H239" s="13" t="str">
        <f t="shared" si="5"/>
        <v>local_non_chauffe</v>
      </c>
    </row>
    <row r="240" spans="1:8" x14ac:dyDescent="0.3">
      <c r="A240" s="6" t="s">
        <v>1085</v>
      </c>
      <c r="B240" s="2" t="s">
        <v>1079</v>
      </c>
      <c r="C240" s="1">
        <v>18</v>
      </c>
      <c r="D240" s="12" t="str">
        <f>IFERROR(SUBSTITUTE(_xlfn.TEXTAFTER(correspondance[[#This Row],[origin.path]],"enum_"),"_id",""),"")</f>
        <v>type_adjacence</v>
      </c>
      <c r="E240" s="12" t="str" cm="1">
        <f t="array" ref="E240">IFERROR(INDEX(enums[lib],MATCH(1,(enums[enum]=correspondance[[#This Row],[origin.enum]])*(enums[value]=correspondance[[#This Row],[origin.value]]),0),1),"")</f>
        <v>hall d'entrée sans dispositif de fermeture automatique</v>
      </c>
      <c r="F240" s="2" t="s">
        <v>1100</v>
      </c>
      <c r="G240" s="1" t="s">
        <v>1029</v>
      </c>
      <c r="H240" s="13" t="str">
        <f t="shared" si="5"/>
        <v>local_non_chauffe</v>
      </c>
    </row>
    <row r="241" spans="1:8" x14ac:dyDescent="0.3">
      <c r="A241" s="6" t="s">
        <v>1085</v>
      </c>
      <c r="B241" s="2" t="s">
        <v>1079</v>
      </c>
      <c r="C241" s="1">
        <v>19</v>
      </c>
      <c r="D241" s="12" t="str">
        <f>IFERROR(SUBSTITUTE(_xlfn.TEXTAFTER(correspondance[[#This Row],[origin.path]],"enum_"),"_id",""),"")</f>
        <v>type_adjacence</v>
      </c>
      <c r="E241" s="12" t="str" cm="1">
        <f t="array" ref="E241">IFERROR(INDEX(enums[lib],MATCH(1,(enums[enum]=correspondance[[#This Row],[origin.enum]])*(enums[value]=correspondance[[#This Row],[origin.value]]),0),1),"")</f>
        <v>garage privé collectif</v>
      </c>
      <c r="F241" s="2" t="s">
        <v>1100</v>
      </c>
      <c r="G241" s="1" t="s">
        <v>1029</v>
      </c>
      <c r="H241" s="13" t="str">
        <f t="shared" si="5"/>
        <v>local_non_chauffe</v>
      </c>
    </row>
    <row r="242" spans="1:8" x14ac:dyDescent="0.3">
      <c r="A242" s="6" t="s">
        <v>1085</v>
      </c>
      <c r="B242" s="2" t="s">
        <v>1079</v>
      </c>
      <c r="C242" s="1">
        <v>20</v>
      </c>
      <c r="D242" s="12" t="str">
        <f>IFERROR(SUBSTITUTE(_xlfn.TEXTAFTER(correspondance[[#This Row],[origin.path]],"enum_"),"_id",""),"")</f>
        <v>type_adjacence</v>
      </c>
      <c r="E242" s="12" t="str" cm="1">
        <f t="array" ref="E242">IFERROR(INDEX(enums[lib],MATCH(1,(enums[enum]=correspondance[[#This Row],[origin.enum]])*(enums[value]=correspondance[[#This Row],[origin.value]]),0),1),"")</f>
        <v>local tertiaire à l'intérieur de l'immeuble en contact avec l'appartement</v>
      </c>
      <c r="F242" s="2" t="s">
        <v>1100</v>
      </c>
      <c r="G242" s="1" t="s">
        <v>1026</v>
      </c>
      <c r="H242" s="13" t="str">
        <f t="shared" si="5"/>
        <v>local_non_residentiel</v>
      </c>
    </row>
    <row r="243" spans="1:8" x14ac:dyDescent="0.3">
      <c r="A243" s="6" t="s">
        <v>1085</v>
      </c>
      <c r="B243" s="2" t="s">
        <v>1079</v>
      </c>
      <c r="C243" s="1">
        <v>21</v>
      </c>
      <c r="D243" s="12" t="str">
        <f>IFERROR(SUBSTITUTE(_xlfn.TEXTAFTER(correspondance[[#This Row],[origin.path]],"enum_"),"_id",""),"")</f>
        <v>type_adjacence</v>
      </c>
      <c r="E243" s="12" t="str" cm="1">
        <f t="array" ref="E243">IFERROR(INDEX(enums[lib],MATCH(1,(enums[enum]=correspondance[[#This Row],[origin.enum]])*(enums[value]=correspondance[[#This Row],[origin.value]]),0),1),"")</f>
        <v>autres dépendances</v>
      </c>
      <c r="F243" s="2" t="s">
        <v>1100</v>
      </c>
      <c r="G243" s="1" t="s">
        <v>1029</v>
      </c>
      <c r="H243" s="13" t="str">
        <f t="shared" si="5"/>
        <v>local_non_chauffe</v>
      </c>
    </row>
    <row r="244" spans="1:8" x14ac:dyDescent="0.3">
      <c r="A244" s="6" t="s">
        <v>1085</v>
      </c>
      <c r="B244" s="2" t="s">
        <v>1079</v>
      </c>
      <c r="C244" s="1">
        <v>22</v>
      </c>
      <c r="D244" s="12" t="str">
        <f>IFERROR(SUBSTITUTE(_xlfn.TEXTAFTER(correspondance[[#This Row],[origin.path]],"enum_"),"_id",""),"")</f>
        <v>type_adjacence</v>
      </c>
      <c r="E244" s="12" t="str" cm="1">
        <f t="array" ref="E244">IFERROR(INDEX(enums[lib],MATCH(1,(enums[enum]=correspondance[[#This Row],[origin.enum]])*(enums[value]=correspondance[[#This Row],[origin.value]]),0),1),"")</f>
        <v>local non déperditif ( local à usage d'habitation chauffé)</v>
      </c>
      <c r="F244" s="2" t="s">
        <v>1100</v>
      </c>
      <c r="G244" s="1" t="s">
        <v>1030</v>
      </c>
      <c r="H244" s="13" t="str">
        <f t="shared" si="5"/>
        <v>local_residentiel</v>
      </c>
    </row>
    <row r="245" spans="1:8" x14ac:dyDescent="0.3">
      <c r="A245" s="6" t="s">
        <v>1085</v>
      </c>
      <c r="B245" s="2" t="s">
        <v>1070</v>
      </c>
      <c r="C245" s="1">
        <v>1</v>
      </c>
      <c r="D245" s="12" t="str">
        <f>IFERROR(SUBSTITUTE(_xlfn.TEXTAFTER(correspondance[[#This Row],[origin.path]],"enum_"),"_id",""),"")</f>
        <v>materiaux_structure_mur</v>
      </c>
      <c r="E245" s="12" t="str" cm="1">
        <f t="array" ref="E245">IFERROR(INDEX(enums[lib],MATCH(1,(enums[enum]=correspondance[[#This Row],[origin.enum]])*(enums[value]=correspondance[[#This Row],[origin.value]]),0),1),"")</f>
        <v>inconnu</v>
      </c>
      <c r="F245" s="2" t="s">
        <v>1107</v>
      </c>
      <c r="G245" s="1"/>
      <c r="H245" s="13" t="str">
        <f t="shared" si="5"/>
        <v/>
      </c>
    </row>
    <row r="246" spans="1:8" x14ac:dyDescent="0.3">
      <c r="A246" s="6" t="s">
        <v>1085</v>
      </c>
      <c r="B246" s="2" t="s">
        <v>1070</v>
      </c>
      <c r="C246" s="1">
        <v>2</v>
      </c>
      <c r="D246" s="12" t="str">
        <f>IFERROR(SUBSTITUTE(_xlfn.TEXTAFTER(correspondance[[#This Row],[origin.path]],"enum_"),"_id",""),"")</f>
        <v>materiaux_structure_mur</v>
      </c>
      <c r="E246" s="12" t="str" cm="1">
        <f t="array" ref="E246">IFERROR(INDEX(enums[lib],MATCH(1,(enums[enum]=correspondance[[#This Row],[origin.enum]])*(enums[value]=correspondance[[#This Row],[origin.value]]),0),1),"")</f>
        <v>murs en pierre de taille et moellons constitué d'un seul matériaux</v>
      </c>
      <c r="F246" s="2" t="s">
        <v>1107</v>
      </c>
      <c r="G246" s="1" t="s">
        <v>1109</v>
      </c>
      <c r="H246" s="13" t="str">
        <f t="shared" si="5"/>
        <v>pierre_moellons</v>
      </c>
    </row>
    <row r="247" spans="1:8" x14ac:dyDescent="0.3">
      <c r="A247" s="6" t="s">
        <v>1085</v>
      </c>
      <c r="B247" s="2" t="s">
        <v>1070</v>
      </c>
      <c r="C247" s="1">
        <v>3</v>
      </c>
      <c r="D247" s="12" t="str">
        <f>IFERROR(SUBSTITUTE(_xlfn.TEXTAFTER(correspondance[[#This Row],[origin.path]],"enum_"),"_id",""),"")</f>
        <v>materiaux_structure_mur</v>
      </c>
      <c r="E247" s="12" t="str" cm="1">
        <f t="array" ref="E247">IFERROR(INDEX(enums[lib],MATCH(1,(enums[enum]=correspondance[[#This Row],[origin.enum]])*(enums[value]=correspondance[[#This Row],[origin.value]]),0),1),"")</f>
        <v>murs en pierre de taille et moellons avec remplissage tout venant</v>
      </c>
      <c r="F247" s="2" t="s">
        <v>1107</v>
      </c>
      <c r="G247" s="1" t="s">
        <v>1110</v>
      </c>
      <c r="H247" s="13" t="str">
        <f t="shared" si="5"/>
        <v>pierre_moellons_avec_remplissage</v>
      </c>
    </row>
    <row r="248" spans="1:8" x14ac:dyDescent="0.3">
      <c r="A248" s="6" t="s">
        <v>1085</v>
      </c>
      <c r="B248" s="2" t="s">
        <v>1070</v>
      </c>
      <c r="C248" s="1">
        <v>4</v>
      </c>
      <c r="D248" s="12" t="str">
        <f>IFERROR(SUBSTITUTE(_xlfn.TEXTAFTER(correspondance[[#This Row],[origin.path]],"enum_"),"_id",""),"")</f>
        <v>materiaux_structure_mur</v>
      </c>
      <c r="E248" s="12" t="str" cm="1">
        <f t="array" ref="E248">IFERROR(INDEX(enums[lib],MATCH(1,(enums[enum]=correspondance[[#This Row],[origin.enum]])*(enums[value]=correspondance[[#This Row],[origin.value]]),0),1),"")</f>
        <v>murs en pisé ou béton de terre stabilisé (à partir d'argile crue)</v>
      </c>
      <c r="F248" s="2" t="s">
        <v>1107</v>
      </c>
      <c r="G248" s="1" t="s">
        <v>1111</v>
      </c>
      <c r="H248" s="13" t="str">
        <f t="shared" si="5"/>
        <v>pise_ou_beton_terre</v>
      </c>
    </row>
    <row r="249" spans="1:8" x14ac:dyDescent="0.3">
      <c r="A249" s="6" t="s">
        <v>1085</v>
      </c>
      <c r="B249" s="2" t="s">
        <v>1070</v>
      </c>
      <c r="C249" s="1">
        <v>5</v>
      </c>
      <c r="D249" s="12" t="str">
        <f>IFERROR(SUBSTITUTE(_xlfn.TEXTAFTER(correspondance[[#This Row],[origin.path]],"enum_"),"_id",""),"")</f>
        <v>materiaux_structure_mur</v>
      </c>
      <c r="E249" s="12" t="str" cm="1">
        <f t="array" ref="E249">IFERROR(INDEX(enums[lib],MATCH(1,(enums[enum]=correspondance[[#This Row],[origin.enum]])*(enums[value]=correspondance[[#This Row],[origin.value]]),0),1),"")</f>
        <v>murs en pan de bois sans remplissage tout venant</v>
      </c>
      <c r="F249" s="2" t="s">
        <v>1107</v>
      </c>
      <c r="G249" s="1" t="s">
        <v>1112</v>
      </c>
      <c r="H249" s="13" t="str">
        <f t="shared" si="5"/>
        <v>pan_bois_sans_remplissage</v>
      </c>
    </row>
    <row r="250" spans="1:8" x14ac:dyDescent="0.3">
      <c r="A250" s="6" t="s">
        <v>1085</v>
      </c>
      <c r="B250" s="2" t="s">
        <v>1070</v>
      </c>
      <c r="C250" s="1">
        <v>6</v>
      </c>
      <c r="D250" s="12" t="str">
        <f>IFERROR(SUBSTITUTE(_xlfn.TEXTAFTER(correspondance[[#This Row],[origin.path]],"enum_"),"_id",""),"")</f>
        <v>materiaux_structure_mur</v>
      </c>
      <c r="E250" s="12" t="str" cm="1">
        <f t="array" ref="E250">IFERROR(INDEX(enums[lib],MATCH(1,(enums[enum]=correspondance[[#This Row],[origin.enum]])*(enums[value]=correspondance[[#This Row],[origin.value]]),0),1),"")</f>
        <v>murs en pan de bois avec remplissage tout venant</v>
      </c>
      <c r="F250" s="2" t="s">
        <v>1107</v>
      </c>
      <c r="G250" s="1" t="s">
        <v>1113</v>
      </c>
      <c r="H250" s="13" t="str">
        <f t="shared" si="5"/>
        <v>pan_bois_avec_remplissage</v>
      </c>
    </row>
    <row r="251" spans="1:8" x14ac:dyDescent="0.3">
      <c r="A251" s="6" t="s">
        <v>1085</v>
      </c>
      <c r="B251" s="2" t="s">
        <v>1070</v>
      </c>
      <c r="C251" s="1">
        <v>7</v>
      </c>
      <c r="D251" s="12" t="str">
        <f>IFERROR(SUBSTITUTE(_xlfn.TEXTAFTER(correspondance[[#This Row],[origin.path]],"enum_"),"_id",""),"")</f>
        <v>materiaux_structure_mur</v>
      </c>
      <c r="E251" s="12" t="str" cm="1">
        <f t="array" ref="E251">IFERROR(INDEX(enums[lib],MATCH(1,(enums[enum]=correspondance[[#This Row],[origin.enum]])*(enums[value]=correspondance[[#This Row],[origin.value]]),0),1),"")</f>
        <v>murs bois (rondin)</v>
      </c>
      <c r="F251" s="2" t="s">
        <v>1107</v>
      </c>
      <c r="G251" s="1" t="s">
        <v>1114</v>
      </c>
      <c r="H251" s="13" t="str">
        <f t="shared" si="5"/>
        <v>bois_rondin</v>
      </c>
    </row>
    <row r="252" spans="1:8" x14ac:dyDescent="0.3">
      <c r="A252" s="6" t="s">
        <v>1085</v>
      </c>
      <c r="B252" s="2" t="s">
        <v>1070</v>
      </c>
      <c r="C252" s="1">
        <v>8</v>
      </c>
      <c r="D252" s="12" t="str">
        <f>IFERROR(SUBSTITUTE(_xlfn.TEXTAFTER(correspondance[[#This Row],[origin.path]],"enum_"),"_id",""),"")</f>
        <v>materiaux_structure_mur</v>
      </c>
      <c r="E252" s="12" t="str" cm="1">
        <f t="array" ref="E252">IFERROR(INDEX(enums[lib],MATCH(1,(enums[enum]=correspondance[[#This Row],[origin.enum]])*(enums[value]=correspondance[[#This Row],[origin.value]]),0),1),"")</f>
        <v>murs en briques pleines simples</v>
      </c>
      <c r="F252" s="2" t="s">
        <v>1107</v>
      </c>
      <c r="G252" s="1" t="s">
        <v>1115</v>
      </c>
      <c r="H252" s="13" t="str">
        <f t="shared" si="5"/>
        <v>brique_pleine_simple</v>
      </c>
    </row>
    <row r="253" spans="1:8" x14ac:dyDescent="0.3">
      <c r="A253" s="6" t="s">
        <v>1085</v>
      </c>
      <c r="B253" s="2" t="s">
        <v>1070</v>
      </c>
      <c r="C253" s="1">
        <v>9</v>
      </c>
      <c r="D253" s="12" t="str">
        <f>IFERROR(SUBSTITUTE(_xlfn.TEXTAFTER(correspondance[[#This Row],[origin.path]],"enum_"),"_id",""),"")</f>
        <v>materiaux_structure_mur</v>
      </c>
      <c r="E253" s="12" t="str" cm="1">
        <f t="array" ref="E253">IFERROR(INDEX(enums[lib],MATCH(1,(enums[enum]=correspondance[[#This Row],[origin.enum]])*(enums[value]=correspondance[[#This Row],[origin.value]]),0),1),"")</f>
        <v>murs en briques pleines doubles avec lame d'air</v>
      </c>
      <c r="F253" s="2" t="s">
        <v>1107</v>
      </c>
      <c r="G253" s="1" t="s">
        <v>1116</v>
      </c>
      <c r="H253" s="13" t="str">
        <f t="shared" si="5"/>
        <v>brique_pleine_double_avec_lame_air</v>
      </c>
    </row>
    <row r="254" spans="1:8" x14ac:dyDescent="0.3">
      <c r="A254" s="6" t="s">
        <v>1085</v>
      </c>
      <c r="B254" s="2" t="s">
        <v>1070</v>
      </c>
      <c r="C254" s="1">
        <v>10</v>
      </c>
      <c r="D254" s="12" t="str">
        <f>IFERROR(SUBSTITUTE(_xlfn.TEXTAFTER(correspondance[[#This Row],[origin.path]],"enum_"),"_id",""),"")</f>
        <v>materiaux_structure_mur</v>
      </c>
      <c r="E254" s="12" t="str" cm="1">
        <f t="array" ref="E254">IFERROR(INDEX(enums[lib],MATCH(1,(enums[enum]=correspondance[[#This Row],[origin.enum]])*(enums[value]=correspondance[[#This Row],[origin.value]]),0),1),"")</f>
        <v>murs en briques creuses</v>
      </c>
      <c r="F254" s="2" t="s">
        <v>1107</v>
      </c>
      <c r="G254" s="1" t="s">
        <v>1117</v>
      </c>
      <c r="H254" s="13" t="str">
        <f t="shared" si="5"/>
        <v>brique_creuse</v>
      </c>
    </row>
    <row r="255" spans="1:8" x14ac:dyDescent="0.3">
      <c r="A255" s="6" t="s">
        <v>1085</v>
      </c>
      <c r="B255" s="2" t="s">
        <v>1070</v>
      </c>
      <c r="C255" s="1">
        <v>11</v>
      </c>
      <c r="D255" s="12" t="str">
        <f>IFERROR(SUBSTITUTE(_xlfn.TEXTAFTER(correspondance[[#This Row],[origin.path]],"enum_"),"_id",""),"")</f>
        <v>materiaux_structure_mur</v>
      </c>
      <c r="E255" s="12" t="str" cm="1">
        <f t="array" ref="E255">IFERROR(INDEX(enums[lib],MATCH(1,(enums[enum]=correspondance[[#This Row],[origin.enum]])*(enums[value]=correspondance[[#This Row],[origin.value]]),0),1),"")</f>
        <v>murs en blocs de béton pleins</v>
      </c>
      <c r="F255" s="2" t="s">
        <v>1107</v>
      </c>
      <c r="G255" s="1" t="s">
        <v>1118</v>
      </c>
      <c r="H255" s="13" t="str">
        <f t="shared" si="5"/>
        <v>bloc_beton_plein</v>
      </c>
    </row>
    <row r="256" spans="1:8" x14ac:dyDescent="0.3">
      <c r="A256" s="6" t="s">
        <v>1085</v>
      </c>
      <c r="B256" s="2" t="s">
        <v>1070</v>
      </c>
      <c r="C256" s="1">
        <v>12</v>
      </c>
      <c r="D256" s="12" t="str">
        <f>IFERROR(SUBSTITUTE(_xlfn.TEXTAFTER(correspondance[[#This Row],[origin.path]],"enum_"),"_id",""),"")</f>
        <v>materiaux_structure_mur</v>
      </c>
      <c r="E256" s="12" t="str" cm="1">
        <f t="array" ref="E256">IFERROR(INDEX(enums[lib],MATCH(1,(enums[enum]=correspondance[[#This Row],[origin.enum]])*(enums[value]=correspondance[[#This Row],[origin.value]]),0),1),"")</f>
        <v>murs en blocs de béton creux</v>
      </c>
      <c r="F256" s="2" t="s">
        <v>1107</v>
      </c>
      <c r="G256" s="1" t="s">
        <v>1119</v>
      </c>
      <c r="H256" s="13" t="str">
        <f t="shared" si="5"/>
        <v>bloc_beton_creux</v>
      </c>
    </row>
    <row r="257" spans="1:8" x14ac:dyDescent="0.3">
      <c r="A257" s="6" t="s">
        <v>1085</v>
      </c>
      <c r="B257" s="2" t="s">
        <v>1070</v>
      </c>
      <c r="C257" s="1">
        <v>13</v>
      </c>
      <c r="D257" s="12" t="str">
        <f>IFERROR(SUBSTITUTE(_xlfn.TEXTAFTER(correspondance[[#This Row],[origin.path]],"enum_"),"_id",""),"")</f>
        <v>materiaux_structure_mur</v>
      </c>
      <c r="E257" s="12" t="str" cm="1">
        <f t="array" ref="E257">IFERROR(INDEX(enums[lib],MATCH(1,(enums[enum]=correspondance[[#This Row],[origin.enum]])*(enums[value]=correspondance[[#This Row],[origin.value]]),0),1),"")</f>
        <v>murs en béton banché</v>
      </c>
      <c r="F257" s="2" t="s">
        <v>1107</v>
      </c>
      <c r="G257" s="1" t="s">
        <v>1120</v>
      </c>
      <c r="H257" s="13" t="str">
        <f t="shared" si="5"/>
        <v>beton_banche</v>
      </c>
    </row>
    <row r="258" spans="1:8" x14ac:dyDescent="0.3">
      <c r="A258" s="6" t="s">
        <v>1085</v>
      </c>
      <c r="B258" s="2" t="s">
        <v>1070</v>
      </c>
      <c r="C258" s="1">
        <v>14</v>
      </c>
      <c r="D258" s="12" t="str">
        <f>IFERROR(SUBSTITUTE(_xlfn.TEXTAFTER(correspondance[[#This Row],[origin.path]],"enum_"),"_id",""),"")</f>
        <v>materiaux_structure_mur</v>
      </c>
      <c r="E258" s="12" t="str" cm="1">
        <f t="array" ref="E258">IFERROR(INDEX(enums[lib],MATCH(1,(enums[enum]=correspondance[[#This Row],[origin.enum]])*(enums[value]=correspondance[[#This Row],[origin.value]]),0),1),"")</f>
        <v>murs en béton de mâchefer</v>
      </c>
      <c r="F258" s="2" t="s">
        <v>1107</v>
      </c>
      <c r="G258" s="1" t="s">
        <v>1121</v>
      </c>
      <c r="H258" s="13" t="str">
        <f t="shared" si="5"/>
        <v>beton_machefer</v>
      </c>
    </row>
    <row r="259" spans="1:8" x14ac:dyDescent="0.3">
      <c r="A259" s="6" t="s">
        <v>1085</v>
      </c>
      <c r="B259" s="2" t="s">
        <v>1070</v>
      </c>
      <c r="C259" s="1">
        <v>15</v>
      </c>
      <c r="D259" s="12" t="str">
        <f>IFERROR(SUBSTITUTE(_xlfn.TEXTAFTER(correspondance[[#This Row],[origin.path]],"enum_"),"_id",""),"")</f>
        <v>materiaux_structure_mur</v>
      </c>
      <c r="E259" s="12" t="str" cm="1">
        <f t="array" ref="E259">IFERROR(INDEX(enums[lib],MATCH(1,(enums[enum]=correspondance[[#This Row],[origin.enum]])*(enums[value]=correspondance[[#This Row],[origin.value]]),0),1),"")</f>
        <v>brique terre cuite alvéolaire</v>
      </c>
      <c r="F259" s="2" t="s">
        <v>1107</v>
      </c>
      <c r="G259" s="1" t="s">
        <v>1122</v>
      </c>
      <c r="H259" s="13" t="str">
        <f t="shared" si="5"/>
        <v>brique_terre_cuite_alveolaire</v>
      </c>
    </row>
    <row r="260" spans="1:8" x14ac:dyDescent="0.3">
      <c r="A260" s="6" t="s">
        <v>1085</v>
      </c>
      <c r="B260" s="2" t="s">
        <v>1070</v>
      </c>
      <c r="C260" s="1">
        <v>16</v>
      </c>
      <c r="D260" s="12" t="str">
        <f>IFERROR(SUBSTITUTE(_xlfn.TEXTAFTER(correspondance[[#This Row],[origin.path]],"enum_"),"_id",""),"")</f>
        <v>materiaux_structure_mur</v>
      </c>
      <c r="E260" s="12" t="str" cm="1">
        <f t="array" ref="E260">IFERROR(INDEX(enums[lib],MATCH(1,(enums[enum]=correspondance[[#This Row],[origin.enum]])*(enums[value]=correspondance[[#This Row],[origin.value]]),0),1),"")</f>
        <v>béton cellulaire avant 2013</v>
      </c>
      <c r="F260" s="2" t="s">
        <v>1107</v>
      </c>
      <c r="G260" s="1" t="s">
        <v>1123</v>
      </c>
      <c r="H260" s="13" t="str">
        <f t="shared" si="5"/>
        <v>beton_cellulaire</v>
      </c>
    </row>
    <row r="261" spans="1:8" x14ac:dyDescent="0.3">
      <c r="A261" s="6" t="s">
        <v>1085</v>
      </c>
      <c r="B261" s="2" t="s">
        <v>1070</v>
      </c>
      <c r="C261" s="1">
        <v>17</v>
      </c>
      <c r="D261" s="12" t="str">
        <f>IFERROR(SUBSTITUTE(_xlfn.TEXTAFTER(correspondance[[#This Row],[origin.path]],"enum_"),"_id",""),"")</f>
        <v>materiaux_structure_mur</v>
      </c>
      <c r="E261" s="12" t="str" cm="1">
        <f t="array" ref="E261">IFERROR(INDEX(enums[lib],MATCH(1,(enums[enum]=correspondance[[#This Row],[origin.enum]])*(enums[value]=correspondance[[#This Row],[origin.value]]),0),1),"")</f>
        <v>béton cellulaire à partir de 2013</v>
      </c>
      <c r="F261" s="2" t="s">
        <v>1107</v>
      </c>
      <c r="G261" s="1" t="s">
        <v>1123</v>
      </c>
      <c r="H261" s="13" t="str">
        <f t="shared" si="5"/>
        <v>beton_cellulaire</v>
      </c>
    </row>
    <row r="262" spans="1:8" x14ac:dyDescent="0.3">
      <c r="A262" s="6" t="s">
        <v>1085</v>
      </c>
      <c r="B262" s="2" t="s">
        <v>1070</v>
      </c>
      <c r="C262" s="1">
        <v>18</v>
      </c>
      <c r="D262" s="12" t="str">
        <f>IFERROR(SUBSTITUTE(_xlfn.TEXTAFTER(correspondance[[#This Row],[origin.path]],"enum_"),"_id",""),"")</f>
        <v>materiaux_structure_mur</v>
      </c>
      <c r="E262" s="12" t="str" cm="1">
        <f t="array" ref="E262">IFERROR(INDEX(enums[lib],MATCH(1,(enums[enum]=correspondance[[#This Row],[origin.enum]])*(enums[value]=correspondance[[#This Row],[origin.value]]),0),1),"")</f>
        <v>murs en ossature bois avec isolant en remplissage ≥ 2006</v>
      </c>
      <c r="F262" s="2" t="s">
        <v>1107</v>
      </c>
      <c r="G262" s="1" t="s">
        <v>1124</v>
      </c>
      <c r="H262" s="13" t="str">
        <f t="shared" si="5"/>
        <v>ossature_bois_avec_remplissage_isolant</v>
      </c>
    </row>
    <row r="263" spans="1:8" x14ac:dyDescent="0.3">
      <c r="A263" s="6" t="s">
        <v>1085</v>
      </c>
      <c r="B263" s="2" t="s">
        <v>1070</v>
      </c>
      <c r="C263" s="1">
        <v>19</v>
      </c>
      <c r="D263" s="12" t="str">
        <f>IFERROR(SUBSTITUTE(_xlfn.TEXTAFTER(correspondance[[#This Row],[origin.path]],"enum_"),"_id",""),"")</f>
        <v>materiaux_structure_mur</v>
      </c>
      <c r="E263" s="12" t="str" cm="1">
        <f t="array" ref="E263">IFERROR(INDEX(enums[lib],MATCH(1,(enums[enum]=correspondance[[#This Row],[origin.enum]])*(enums[value]=correspondance[[#This Row],[origin.value]]),0),1),"")</f>
        <v>murs sandwich béton/isolant/béton (sans isolation rapportée)</v>
      </c>
      <c r="F263" s="2" t="s">
        <v>1107</v>
      </c>
      <c r="G263" s="1" t="s">
        <v>1125</v>
      </c>
      <c r="H263" s="13" t="str">
        <f t="shared" si="5"/>
        <v>sandwich_beton_isolant_beton_sans_isolation_rapportee</v>
      </c>
    </row>
    <row r="264" spans="1:8" x14ac:dyDescent="0.3">
      <c r="A264" s="6" t="s">
        <v>1085</v>
      </c>
      <c r="B264" s="2" t="s">
        <v>1070</v>
      </c>
      <c r="C264" s="1">
        <v>20</v>
      </c>
      <c r="D264" s="12" t="str">
        <f>IFERROR(SUBSTITUTE(_xlfn.TEXTAFTER(correspondance[[#This Row],[origin.path]],"enum_"),"_id",""),"")</f>
        <v>materiaux_structure_mur</v>
      </c>
      <c r="E264" s="12" t="str" cm="1">
        <f t="array" ref="E264">IFERROR(INDEX(enums[lib],MATCH(1,(enums[enum]=correspondance[[#This Row],[origin.enum]])*(enums[value]=correspondance[[#This Row],[origin.value]]),0),1),"")</f>
        <v>cloison de plâtre</v>
      </c>
      <c r="F264" s="2" t="s">
        <v>1107</v>
      </c>
      <c r="G264" s="1" t="s">
        <v>1126</v>
      </c>
      <c r="H264" s="13" t="str">
        <f t="shared" si="5"/>
        <v>cloison_platre</v>
      </c>
    </row>
    <row r="265" spans="1:8" x14ac:dyDescent="0.3">
      <c r="A265" s="6" t="s">
        <v>1085</v>
      </c>
      <c r="B265" s="2" t="s">
        <v>1070</v>
      </c>
      <c r="C265" s="1">
        <v>21</v>
      </c>
      <c r="D265" s="12" t="str">
        <f>IFERROR(SUBSTITUTE(_xlfn.TEXTAFTER(correspondance[[#This Row],[origin.path]],"enum_"),"_id",""),"")</f>
        <v>materiaux_structure_mur</v>
      </c>
      <c r="E265" s="12" t="str" cm="1">
        <f t="array" ref="E265">IFERROR(INDEX(enums[lib],MATCH(1,(enums[enum]=correspondance[[#This Row],[origin.enum]])*(enums[value]=correspondance[[#This Row],[origin.value]]),0),1),"")</f>
        <v>autre matériau traditionel ancien</v>
      </c>
      <c r="F265" s="2" t="s">
        <v>1107</v>
      </c>
      <c r="G265" s="1"/>
      <c r="H265" s="13" t="str">
        <f t="shared" si="5"/>
        <v/>
      </c>
    </row>
    <row r="266" spans="1:8" x14ac:dyDescent="0.3">
      <c r="A266" s="6" t="s">
        <v>1085</v>
      </c>
      <c r="B266" s="2" t="s">
        <v>1070</v>
      </c>
      <c r="C266" s="1">
        <v>22</v>
      </c>
      <c r="D266" s="12" t="str">
        <f>IFERROR(SUBSTITUTE(_xlfn.TEXTAFTER(correspondance[[#This Row],[origin.path]],"enum_"),"_id",""),"")</f>
        <v>materiaux_structure_mur</v>
      </c>
      <c r="E266" s="12" t="str" cm="1">
        <f t="array" ref="E266">IFERROR(INDEX(enums[lib],MATCH(1,(enums[enum]=correspondance[[#This Row],[origin.enum]])*(enums[value]=correspondance[[#This Row],[origin.value]]),0),1),"")</f>
        <v>autre matériau innovant récent</v>
      </c>
      <c r="F266" s="2" t="s">
        <v>1107</v>
      </c>
      <c r="G266" s="1"/>
      <c r="H266" s="13" t="str">
        <f t="shared" si="5"/>
        <v/>
      </c>
    </row>
    <row r="267" spans="1:8" x14ac:dyDescent="0.3">
      <c r="A267" s="6" t="s">
        <v>1085</v>
      </c>
      <c r="B267" s="2" t="s">
        <v>1070</v>
      </c>
      <c r="C267" s="1">
        <v>23</v>
      </c>
      <c r="D267" s="12" t="str">
        <f>IFERROR(SUBSTITUTE(_xlfn.TEXTAFTER(correspondance[[#This Row],[origin.path]],"enum_"),"_id",""),"")</f>
        <v>materiaux_structure_mur</v>
      </c>
      <c r="E267" s="12" t="str" cm="1">
        <f t="array" ref="E267">IFERROR(INDEX(enums[lib],MATCH(1,(enums[enum]=correspondance[[#This Row],[origin.enum]])*(enums[value]=correspondance[[#This Row],[origin.value]]),0),1),"")</f>
        <v>autre matériau non répertorié</v>
      </c>
      <c r="F267" s="2" t="s">
        <v>1107</v>
      </c>
      <c r="G267" s="1"/>
      <c r="H267" s="13" t="str">
        <f t="shared" si="5"/>
        <v/>
      </c>
    </row>
    <row r="268" spans="1:8" x14ac:dyDescent="0.3">
      <c r="A268" s="6" t="s">
        <v>1085</v>
      </c>
      <c r="B268" s="2" t="s">
        <v>1070</v>
      </c>
      <c r="C268" s="1">
        <v>24</v>
      </c>
      <c r="D268" s="12" t="str">
        <f>IFERROR(SUBSTITUTE(_xlfn.TEXTAFTER(correspondance[[#This Row],[origin.path]],"enum_"),"_id",""),"")</f>
        <v>materiaux_structure_mur</v>
      </c>
      <c r="E268" s="12" t="str" cm="1">
        <f t="array" ref="E268">IFERROR(INDEX(enums[lib],MATCH(1,(enums[enum]=correspondance[[#This Row],[origin.enum]])*(enums[value]=correspondance[[#This Row],[origin.value]]),0),1),"")</f>
        <v>murs en ossature bois avec isolant en remplissage 2001-2005</v>
      </c>
      <c r="F268" s="2" t="s">
        <v>1107</v>
      </c>
      <c r="G268" s="1" t="s">
        <v>1124</v>
      </c>
      <c r="H268" s="13" t="str">
        <f t="shared" si="5"/>
        <v>ossature_bois_avec_remplissage_isolant</v>
      </c>
    </row>
    <row r="269" spans="1:8" x14ac:dyDescent="0.3">
      <c r="A269" s="6" t="s">
        <v>1085</v>
      </c>
      <c r="B269" s="2" t="s">
        <v>1070</v>
      </c>
      <c r="C269" s="1">
        <v>25</v>
      </c>
      <c r="D269" s="12" t="str">
        <f>IFERROR(SUBSTITUTE(_xlfn.TEXTAFTER(correspondance[[#This Row],[origin.path]],"enum_"),"_id",""),"")</f>
        <v>materiaux_structure_mur</v>
      </c>
      <c r="E269" s="12" t="str" cm="1">
        <f t="array" ref="E269">IFERROR(INDEX(enums[lib],MATCH(1,(enums[enum]=correspondance[[#This Row],[origin.enum]])*(enums[value]=correspondance[[#This Row],[origin.value]]),0),1),"")</f>
        <v>murs en ossature bois sans remplissage</v>
      </c>
      <c r="F269" s="2" t="s">
        <v>1107</v>
      </c>
      <c r="G269" s="1" t="s">
        <v>1127</v>
      </c>
      <c r="H269" s="13" t="str">
        <f t="shared" ref="H269:H271" si="6">LOWER(G269)</f>
        <v>ossature_bois_sans_remplissage</v>
      </c>
    </row>
    <row r="270" spans="1:8" x14ac:dyDescent="0.3">
      <c r="A270" s="6" t="s">
        <v>1085</v>
      </c>
      <c r="B270" s="2" t="s">
        <v>1070</v>
      </c>
      <c r="C270" s="1">
        <v>26</v>
      </c>
      <c r="D270" s="12" t="str">
        <f>IFERROR(SUBSTITUTE(_xlfn.TEXTAFTER(correspondance[[#This Row],[origin.path]],"enum_"),"_id",""),"")</f>
        <v>materiaux_structure_mur</v>
      </c>
      <c r="E270" s="12" t="str" cm="1">
        <f t="array" ref="E270">IFERROR(INDEX(enums[lib],MATCH(1,(enums[enum]=correspondance[[#This Row],[origin.enum]])*(enums[value]=correspondance[[#This Row],[origin.value]]),0),1),"")</f>
        <v>murs en ossature bois avec isolant en remplissage &lt;2001</v>
      </c>
      <c r="F270" s="2" t="s">
        <v>1107</v>
      </c>
      <c r="G270" s="1" t="s">
        <v>1124</v>
      </c>
      <c r="H270" s="13" t="str">
        <f t="shared" si="6"/>
        <v>ossature_bois_avec_remplissage_isolant</v>
      </c>
    </row>
    <row r="271" spans="1:8" x14ac:dyDescent="0.3">
      <c r="A271" s="6" t="s">
        <v>1085</v>
      </c>
      <c r="B271" s="2" t="s">
        <v>1070</v>
      </c>
      <c r="C271" s="1">
        <v>27</v>
      </c>
      <c r="D271" s="12" t="str">
        <f>IFERROR(SUBSTITUTE(_xlfn.TEXTAFTER(correspondance[[#This Row],[origin.path]],"enum_"),"_id",""),"")</f>
        <v>materiaux_structure_mur</v>
      </c>
      <c r="E271" s="12" t="str" cm="1">
        <f t="array" ref="E271">IFERROR(INDEX(enums[lib],MATCH(1,(enums[enum]=correspondance[[#This Row],[origin.enum]])*(enums[value]=correspondance[[#This Row],[origin.value]]),0),1),"")</f>
        <v>murs en ossature bois avec remplissage tout venant</v>
      </c>
      <c r="F271" s="2" t="s">
        <v>1107</v>
      </c>
      <c r="G271" s="1" t="s">
        <v>1128</v>
      </c>
      <c r="H271" s="13" t="str">
        <f t="shared" si="6"/>
        <v>ossature_bois_avec_remplissage_tout_venant</v>
      </c>
    </row>
    <row r="272" spans="1:8" x14ac:dyDescent="0.3">
      <c r="A272" s="6" t="s">
        <v>1085</v>
      </c>
      <c r="B272" s="11" t="s">
        <v>1071</v>
      </c>
      <c r="C272" s="1">
        <v>1</v>
      </c>
      <c r="D272" s="12" t="str">
        <f>IFERROR(SUBSTITUTE(_xlfn.TEXTAFTER(correspondance[[#This Row],[origin.path]],"enum_"),"_id",""),"")</f>
        <v>type_doublage</v>
      </c>
      <c r="E272" s="12" t="str" cm="1">
        <f t="array" ref="E272">IFERROR(INDEX(enums[lib],MATCH(1,(enums[enum]=correspondance[[#This Row],[origin.enum]])*(enums[value]=correspondance[[#This Row],[origin.value]]),0),1),"")</f>
        <v>inconnu</v>
      </c>
      <c r="F272" s="2" t="s">
        <v>1093</v>
      </c>
      <c r="G272" s="1" t="s">
        <v>938</v>
      </c>
      <c r="H272" s="13" t="str">
        <f t="shared" ref="H272:H274" si="7">LOWER(G272)</f>
        <v/>
      </c>
    </row>
    <row r="273" spans="1:8" x14ac:dyDescent="0.3">
      <c r="A273" s="6" t="s">
        <v>1085</v>
      </c>
      <c r="B273" s="11" t="s">
        <v>1071</v>
      </c>
      <c r="C273" s="1">
        <v>2</v>
      </c>
      <c r="D273" s="12" t="str">
        <f>IFERROR(SUBSTITUTE(_xlfn.TEXTAFTER(correspondance[[#This Row],[origin.path]],"enum_"),"_id",""),"")</f>
        <v>type_doublage</v>
      </c>
      <c r="E273" s="12" t="str" cm="1">
        <f t="array" ref="E273">IFERROR(INDEX(enums[lib],MATCH(1,(enums[enum]=correspondance[[#This Row],[origin.enum]])*(enums[value]=correspondance[[#This Row],[origin.value]]),0),1),"")</f>
        <v>absence de doublage</v>
      </c>
      <c r="F273" s="2" t="s">
        <v>1093</v>
      </c>
      <c r="G273" s="1" t="s">
        <v>1129</v>
      </c>
      <c r="H273" s="13" t="str">
        <f t="shared" si="7"/>
        <v>sans_doublage</v>
      </c>
    </row>
    <row r="274" spans="1:8" x14ac:dyDescent="0.3">
      <c r="A274" s="6" t="s">
        <v>1085</v>
      </c>
      <c r="B274" s="11" t="s">
        <v>1071</v>
      </c>
      <c r="C274" s="1">
        <v>3</v>
      </c>
      <c r="D274" s="12" t="str">
        <f>IFERROR(SUBSTITUTE(_xlfn.TEXTAFTER(correspondance[[#This Row],[origin.path]],"enum_"),"_id",""),"")</f>
        <v>type_doublage</v>
      </c>
      <c r="E274" s="12" t="str" cm="1">
        <f t="array" ref="E274">IFERROR(INDEX(enums[lib],MATCH(1,(enums[enum]=correspondance[[#This Row],[origin.enum]])*(enums[value]=correspondance[[#This Row],[origin.value]]),0),1),"")</f>
        <v>doublage indéterminé ou lame d'air inf 15 mm</v>
      </c>
      <c r="F274" s="2" t="s">
        <v>1093</v>
      </c>
      <c r="G274" s="1" t="s">
        <v>1130</v>
      </c>
      <c r="H274" s="13" t="str">
        <f t="shared" si="7"/>
        <v>lame_air_inferieur_15mm</v>
      </c>
    </row>
    <row r="275" spans="1:8" x14ac:dyDescent="0.3">
      <c r="A275" s="6" t="s">
        <v>1085</v>
      </c>
      <c r="B275" s="11" t="s">
        <v>1071</v>
      </c>
      <c r="C275" s="1">
        <v>4</v>
      </c>
      <c r="D275" s="12" t="str">
        <f>IFERROR(SUBSTITUTE(_xlfn.TEXTAFTER(correspondance[[#This Row],[origin.path]],"enum_"),"_id",""),"")</f>
        <v>type_doublage</v>
      </c>
      <c r="E275" s="12" t="str" cm="1">
        <f t="array" ref="E275">IFERROR(INDEX(enums[lib],MATCH(1,(enums[enum]=correspondance[[#This Row],[origin.enum]])*(enums[value]=correspondance[[#This Row],[origin.value]]),0),1),"")</f>
        <v>doublage indéterminé avec lame d'air sup 15 mm</v>
      </c>
      <c r="F275" s="2" t="s">
        <v>1093</v>
      </c>
      <c r="G275" s="1" t="s">
        <v>1131</v>
      </c>
      <c r="H275" s="13" t="str">
        <f t="shared" ref="H275:H288" si="8">LOWER(G275)</f>
        <v>lame_air_superieur_15mm</v>
      </c>
    </row>
    <row r="276" spans="1:8" x14ac:dyDescent="0.3">
      <c r="A276" s="6" t="s">
        <v>1085</v>
      </c>
      <c r="B276" s="11" t="s">
        <v>1071</v>
      </c>
      <c r="C276" s="1">
        <v>5</v>
      </c>
      <c r="D276" s="12" t="str">
        <f>IFERROR(SUBSTITUTE(_xlfn.TEXTAFTER(correspondance[[#This Row],[origin.path]],"enum_"),"_id",""),"")</f>
        <v>type_doublage</v>
      </c>
      <c r="E276" s="12" t="str" cm="1">
        <f t="array" ref="E276">IFERROR(INDEX(enums[lib],MATCH(1,(enums[enum]=correspondance[[#This Row],[origin.enum]])*(enums[value]=correspondance[[#This Row],[origin.value]]),0),1),"")</f>
        <v>doublage connu (plâtre brique bois)</v>
      </c>
      <c r="F276" s="2" t="s">
        <v>1093</v>
      </c>
      <c r="G276" s="1" t="s">
        <v>1132</v>
      </c>
      <c r="H276" s="13" t="str">
        <f t="shared" si="8"/>
        <v>materiaux_connu</v>
      </c>
    </row>
    <row r="277" spans="1:8" x14ac:dyDescent="0.3">
      <c r="A277" s="6" t="s">
        <v>1133</v>
      </c>
      <c r="B277" s="11" t="s">
        <v>1143</v>
      </c>
      <c r="C277" s="1">
        <v>1</v>
      </c>
      <c r="D277" s="12" t="str">
        <f>IFERROR(SUBSTITUTE(_xlfn.TEXTAFTER(correspondance[[#This Row],[origin.path]],"enum_"),"_id",""),"")</f>
        <v>cfg_isolation_lnc</v>
      </c>
      <c r="E277" s="12" t="str" cm="1">
        <f t="array" ref="E277">IFERROR(INDEX(enums[lib],MATCH(1,(enums[enum]=correspondance[[#This Row],[origin.enum]])*(enums[value]=correspondance[[#This Row],[origin.value]]),0),1),"")</f>
        <v>local chauffé non accessible</v>
      </c>
      <c r="F277" s="2" t="s">
        <v>1150</v>
      </c>
      <c r="G277" s="1"/>
      <c r="H277" s="13" t="str">
        <f t="shared" si="8"/>
        <v/>
      </c>
    </row>
    <row r="278" spans="1:8" x14ac:dyDescent="0.3">
      <c r="A278" s="6" t="s">
        <v>1133</v>
      </c>
      <c r="B278" s="11" t="s">
        <v>1143</v>
      </c>
      <c r="C278" s="1">
        <v>2</v>
      </c>
      <c r="D278" s="12" t="str">
        <f>IFERROR(SUBSTITUTE(_xlfn.TEXTAFTER(correspondance[[#This Row],[origin.path]],"enum_"),"_id",""),"")</f>
        <v>cfg_isolation_lnc</v>
      </c>
      <c r="E278" s="12" t="str" cm="1">
        <f t="array" ref="E278">IFERROR(INDEX(enums[lib],MATCH(1,(enums[enum]=correspondance[[#This Row],[origin.enum]])*(enums[value]=correspondance[[#This Row],[origin.value]]),0),1),"")</f>
        <v>lc non isolé + lnc non isolé</v>
      </c>
      <c r="F278" s="2" t="s">
        <v>1150</v>
      </c>
      <c r="G278" s="1" t="s">
        <v>936</v>
      </c>
      <c r="H278" s="13" t="str">
        <f t="shared" si="8"/>
        <v>non_isole</v>
      </c>
    </row>
    <row r="279" spans="1:8" x14ac:dyDescent="0.3">
      <c r="A279" s="6" t="s">
        <v>1133</v>
      </c>
      <c r="B279" s="11" t="s">
        <v>1143</v>
      </c>
      <c r="C279" s="1">
        <v>3</v>
      </c>
      <c r="D279" s="12" t="str">
        <f>IFERROR(SUBSTITUTE(_xlfn.TEXTAFTER(correspondance[[#This Row],[origin.path]],"enum_"),"_id",""),"")</f>
        <v>cfg_isolation_lnc</v>
      </c>
      <c r="E279" s="12" t="str" cm="1">
        <f t="array" ref="E279">IFERROR(INDEX(enums[lib],MATCH(1,(enums[enum]=correspondance[[#This Row],[origin.enum]])*(enums[value]=correspondance[[#This Row],[origin.value]]),0),1),"")</f>
        <v>lc non isolé + lnc isolé</v>
      </c>
      <c r="F279" s="2" t="s">
        <v>1150</v>
      </c>
      <c r="G279" s="1" t="s">
        <v>937</v>
      </c>
      <c r="H279" s="13" t="str">
        <f t="shared" si="8"/>
        <v>isole</v>
      </c>
    </row>
    <row r="280" spans="1:8" x14ac:dyDescent="0.3">
      <c r="A280" s="6" t="s">
        <v>1133</v>
      </c>
      <c r="B280" s="11" t="s">
        <v>1143</v>
      </c>
      <c r="C280" s="1">
        <v>4</v>
      </c>
      <c r="D280" s="12" t="str">
        <f>IFERROR(SUBSTITUTE(_xlfn.TEXTAFTER(correspondance[[#This Row],[origin.path]],"enum_"),"_id",""),"")</f>
        <v>cfg_isolation_lnc</v>
      </c>
      <c r="E280" s="12" t="str" cm="1">
        <f t="array" ref="E280">IFERROR(INDEX(enums[lib],MATCH(1,(enums[enum]=correspondance[[#This Row],[origin.enum]])*(enums[value]=correspondance[[#This Row],[origin.value]]),0),1),"")</f>
        <v>lc isolé + lnc non isolé</v>
      </c>
      <c r="F280" s="2" t="s">
        <v>1150</v>
      </c>
      <c r="G280" s="1" t="s">
        <v>936</v>
      </c>
      <c r="H280" s="13" t="str">
        <f t="shared" si="8"/>
        <v>non_isole</v>
      </c>
    </row>
    <row r="281" spans="1:8" x14ac:dyDescent="0.3">
      <c r="A281" s="6" t="s">
        <v>1133</v>
      </c>
      <c r="B281" s="11" t="s">
        <v>1143</v>
      </c>
      <c r="C281" s="1">
        <v>5</v>
      </c>
      <c r="D281" s="12" t="str">
        <f>IFERROR(SUBSTITUTE(_xlfn.TEXTAFTER(correspondance[[#This Row],[origin.path]],"enum_"),"_id",""),"")</f>
        <v>cfg_isolation_lnc</v>
      </c>
      <c r="E281" s="12" t="str" cm="1">
        <f t="array" ref="E281">IFERROR(INDEX(enums[lib],MATCH(1,(enums[enum]=correspondance[[#This Row],[origin.enum]])*(enums[value]=correspondance[[#This Row],[origin.value]]),0),1),"")</f>
        <v>lc isolé + lnc isolé</v>
      </c>
      <c r="F281" s="2" t="s">
        <v>1150</v>
      </c>
      <c r="G281" s="1" t="s">
        <v>937</v>
      </c>
      <c r="H281" s="13" t="str">
        <f t="shared" si="8"/>
        <v>isole</v>
      </c>
    </row>
    <row r="282" spans="1:8" x14ac:dyDescent="0.3">
      <c r="A282" s="6" t="s">
        <v>1133</v>
      </c>
      <c r="B282" s="11" t="s">
        <v>1143</v>
      </c>
      <c r="C282" s="1">
        <v>6</v>
      </c>
      <c r="D282" s="12" t="str">
        <f>IFERROR(SUBSTITUTE(_xlfn.TEXTAFTER(correspondance[[#This Row],[origin.path]],"enum_"),"_id",""),"")</f>
        <v>cfg_isolation_lnc</v>
      </c>
      <c r="E282" s="12" t="str" cm="1">
        <f t="array" ref="E282">IFERROR(INDEX(enums[lib],MATCH(1,(enums[enum]=correspondance[[#This Row],[origin.enum]])*(enums[value]=correspondance[[#This Row],[origin.value]]),0),1),"")</f>
        <v>lc isolé + espace tampon solarisé orienté nord</v>
      </c>
      <c r="F282" s="2" t="s">
        <v>1150</v>
      </c>
      <c r="G282" s="1"/>
      <c r="H282" s="13" t="str">
        <f t="shared" si="8"/>
        <v/>
      </c>
    </row>
    <row r="283" spans="1:8" x14ac:dyDescent="0.3">
      <c r="A283" s="6" t="s">
        <v>1133</v>
      </c>
      <c r="B283" s="11" t="s">
        <v>1143</v>
      </c>
      <c r="C283" s="1">
        <v>7</v>
      </c>
      <c r="D283" s="12" t="str">
        <f>IFERROR(SUBSTITUTE(_xlfn.TEXTAFTER(correspondance[[#This Row],[origin.path]],"enum_"),"_id",""),"")</f>
        <v>cfg_isolation_lnc</v>
      </c>
      <c r="E283" s="12" t="str" cm="1">
        <f t="array" ref="E283">IFERROR(INDEX(enums[lib],MATCH(1,(enums[enum]=correspondance[[#This Row],[origin.enum]])*(enums[value]=correspondance[[#This Row],[origin.value]]),0),1),"")</f>
        <v>lc isolé + espace tampon solarisé orienté sud</v>
      </c>
      <c r="F283" s="2" t="s">
        <v>1150</v>
      </c>
      <c r="G283" s="1"/>
      <c r="H283" s="13" t="str">
        <f t="shared" si="8"/>
        <v/>
      </c>
    </row>
    <row r="284" spans="1:8" x14ac:dyDescent="0.3">
      <c r="A284" s="6" t="s">
        <v>1133</v>
      </c>
      <c r="B284" s="11" t="s">
        <v>1143</v>
      </c>
      <c r="C284" s="1">
        <v>8</v>
      </c>
      <c r="D284" s="12" t="str">
        <f>IFERROR(SUBSTITUTE(_xlfn.TEXTAFTER(correspondance[[#This Row],[origin.path]],"enum_"),"_id",""),"")</f>
        <v>cfg_isolation_lnc</v>
      </c>
      <c r="E284" s="12" t="str" cm="1">
        <f t="array" ref="E284">IFERROR(INDEX(enums[lib],MATCH(1,(enums[enum]=correspondance[[#This Row],[origin.enum]])*(enums[value]=correspondance[[#This Row],[origin.value]]),0),1),"")</f>
        <v>lc isolé + espace tampon solarisé orienté est/ouest</v>
      </c>
      <c r="F284" s="2" t="s">
        <v>1150</v>
      </c>
      <c r="G284" s="1"/>
      <c r="H284" s="13" t="str">
        <f t="shared" si="8"/>
        <v/>
      </c>
    </row>
    <row r="285" spans="1:8" x14ac:dyDescent="0.3">
      <c r="A285" s="6" t="s">
        <v>1133</v>
      </c>
      <c r="B285" s="11" t="s">
        <v>1143</v>
      </c>
      <c r="C285" s="1">
        <v>9</v>
      </c>
      <c r="D285" s="12" t="str">
        <f>IFERROR(SUBSTITUTE(_xlfn.TEXTAFTER(correspondance[[#This Row],[origin.path]],"enum_"),"_id",""),"")</f>
        <v>cfg_isolation_lnc</v>
      </c>
      <c r="E285" s="12" t="str" cm="1">
        <f t="array" ref="E285">IFERROR(INDEX(enums[lib],MATCH(1,(enums[enum]=correspondance[[#This Row],[origin.enum]])*(enums[value]=correspondance[[#This Row],[origin.value]]),0),1),"")</f>
        <v>lc non isolé + espace tampon solarisé orienté nord</v>
      </c>
      <c r="F285" s="2" t="s">
        <v>1150</v>
      </c>
      <c r="G285" s="1"/>
      <c r="H285" s="13" t="str">
        <f t="shared" si="8"/>
        <v/>
      </c>
    </row>
    <row r="286" spans="1:8" x14ac:dyDescent="0.3">
      <c r="A286" s="6" t="s">
        <v>1133</v>
      </c>
      <c r="B286" s="11" t="s">
        <v>1143</v>
      </c>
      <c r="C286" s="1">
        <v>10</v>
      </c>
      <c r="D286" s="12" t="str">
        <f>IFERROR(SUBSTITUTE(_xlfn.TEXTAFTER(correspondance[[#This Row],[origin.path]],"enum_"),"_id",""),"")</f>
        <v>cfg_isolation_lnc</v>
      </c>
      <c r="E286" s="12" t="str" cm="1">
        <f t="array" ref="E286">IFERROR(INDEX(enums[lib],MATCH(1,(enums[enum]=correspondance[[#This Row],[origin.enum]])*(enums[value]=correspondance[[#This Row],[origin.value]]),0),1),"")</f>
        <v>lc non isolé + espace tampon solarisé orienté sud</v>
      </c>
      <c r="F286" s="2" t="s">
        <v>1150</v>
      </c>
      <c r="G286" s="1"/>
      <c r="H286" s="13" t="str">
        <f t="shared" si="8"/>
        <v/>
      </c>
    </row>
    <row r="287" spans="1:8" x14ac:dyDescent="0.3">
      <c r="A287" s="6" t="s">
        <v>1133</v>
      </c>
      <c r="B287" s="11" t="s">
        <v>1143</v>
      </c>
      <c r="C287" s="1">
        <v>11</v>
      </c>
      <c r="D287" s="12" t="str">
        <f>IFERROR(SUBSTITUTE(_xlfn.TEXTAFTER(correspondance[[#This Row],[origin.path]],"enum_"),"_id",""),"")</f>
        <v>cfg_isolation_lnc</v>
      </c>
      <c r="E287" s="12" t="str" cm="1">
        <f t="array" ref="E287">IFERROR(INDEX(enums[lib],MATCH(1,(enums[enum]=correspondance[[#This Row],[origin.enum]])*(enums[value]=correspondance[[#This Row],[origin.value]]),0),1),"")</f>
        <v>lc non isolé + espace tampon solarisé orienté est/ouest</v>
      </c>
      <c r="F287" s="2" t="s">
        <v>1150</v>
      </c>
      <c r="G287" s="1"/>
      <c r="H287" s="13" t="str">
        <f t="shared" si="8"/>
        <v/>
      </c>
    </row>
    <row r="288" spans="1:8" x14ac:dyDescent="0.3">
      <c r="A288" s="6" t="s">
        <v>1133</v>
      </c>
      <c r="B288" s="11" t="s">
        <v>1146</v>
      </c>
      <c r="C288" s="1">
        <v>1</v>
      </c>
      <c r="D288" s="12" t="str">
        <f>IFERROR(SUBSTITUTE(_xlfn.TEXTAFTER(correspondance[[#This Row],[origin.path]],"enum_"),"_id",""),"")</f>
        <v>orientation</v>
      </c>
      <c r="E288" s="12" t="str" cm="1">
        <f t="array" ref="E288">IFERROR(INDEX(enums[lib],MATCH(1,(enums[enum]=correspondance[[#This Row],[origin.enum]])*(enums[value]=correspondance[[#This Row],[origin.value]]),0),1),"")</f>
        <v>sud</v>
      </c>
      <c r="F288" s="2" t="s">
        <v>1138</v>
      </c>
      <c r="G288" s="1">
        <v>180</v>
      </c>
      <c r="H288" s="13" t="str">
        <f t="shared" si="8"/>
        <v>180</v>
      </c>
    </row>
    <row r="289" spans="1:8" x14ac:dyDescent="0.3">
      <c r="A289" s="6" t="s">
        <v>1133</v>
      </c>
      <c r="B289" s="11" t="s">
        <v>1146</v>
      </c>
      <c r="C289" s="1">
        <v>2</v>
      </c>
      <c r="D289" s="12" t="str">
        <f>IFERROR(SUBSTITUTE(_xlfn.TEXTAFTER(correspondance[[#This Row],[origin.path]],"enum_"),"_id",""),"")</f>
        <v>orientation</v>
      </c>
      <c r="E289" s="12" t="str" cm="1">
        <f t="array" ref="E289">IFERROR(INDEX(enums[lib],MATCH(1,(enums[enum]=correspondance[[#This Row],[origin.enum]])*(enums[value]=correspondance[[#This Row],[origin.value]]),0),1),"")</f>
        <v>nord</v>
      </c>
      <c r="F289" s="2" t="s">
        <v>1138</v>
      </c>
      <c r="G289" s="1">
        <v>0</v>
      </c>
      <c r="H289" s="13" t="str">
        <f t="shared" ref="H289:H291" si="9">LOWER(G289)</f>
        <v>0</v>
      </c>
    </row>
    <row r="290" spans="1:8" x14ac:dyDescent="0.3">
      <c r="A290" s="6" t="s">
        <v>1133</v>
      </c>
      <c r="B290" s="11" t="s">
        <v>1146</v>
      </c>
      <c r="C290" s="1">
        <v>3</v>
      </c>
      <c r="D290" s="12" t="str">
        <f>IFERROR(SUBSTITUTE(_xlfn.TEXTAFTER(correspondance[[#This Row],[origin.path]],"enum_"),"_id",""),"")</f>
        <v>orientation</v>
      </c>
      <c r="E290" s="12" t="str" cm="1">
        <f t="array" ref="E290">IFERROR(INDEX(enums[lib],MATCH(1,(enums[enum]=correspondance[[#This Row],[origin.enum]])*(enums[value]=correspondance[[#This Row],[origin.value]]),0),1),"")</f>
        <v>est</v>
      </c>
      <c r="F290" s="2" t="s">
        <v>1138</v>
      </c>
      <c r="G290" s="1">
        <v>90</v>
      </c>
      <c r="H290" s="13" t="str">
        <f t="shared" si="9"/>
        <v>90</v>
      </c>
    </row>
    <row r="291" spans="1:8" x14ac:dyDescent="0.3">
      <c r="A291" s="6" t="s">
        <v>1133</v>
      </c>
      <c r="B291" s="11" t="s">
        <v>1146</v>
      </c>
      <c r="C291" s="1">
        <v>4</v>
      </c>
      <c r="D291" s="12" t="str">
        <f>IFERROR(SUBSTITUTE(_xlfn.TEXTAFTER(correspondance[[#This Row],[origin.path]],"enum_"),"_id",""),"")</f>
        <v>orientation</v>
      </c>
      <c r="E291" s="12" t="str" cm="1">
        <f t="array" ref="E291">IFERROR(INDEX(enums[lib],MATCH(1,(enums[enum]=correspondance[[#This Row],[origin.enum]])*(enums[value]=correspondance[[#This Row],[origin.value]]),0),1),"")</f>
        <v>ouest</v>
      </c>
      <c r="F291" s="2" t="s">
        <v>1138</v>
      </c>
      <c r="G291" s="1">
        <v>270</v>
      </c>
      <c r="H291" s="13" t="str">
        <f t="shared" si="9"/>
        <v>270</v>
      </c>
    </row>
    <row r="292" spans="1:8" x14ac:dyDescent="0.3">
      <c r="A292" s="6" t="s">
        <v>1133</v>
      </c>
      <c r="B292" s="11" t="s">
        <v>1146</v>
      </c>
      <c r="C292" s="1">
        <v>5</v>
      </c>
      <c r="D292" s="12" t="str">
        <f>IFERROR(SUBSTITUTE(_xlfn.TEXTAFTER(correspondance[[#This Row],[origin.path]],"enum_"),"_id",""),"")</f>
        <v>orientation</v>
      </c>
      <c r="E292" s="12" t="str" cm="1">
        <f t="array" ref="E292">IFERROR(INDEX(enums[lib],MATCH(1,(enums[enum]=correspondance[[#This Row],[origin.enum]])*(enums[value]=correspondance[[#This Row],[origin.value]]),0),1),"")</f>
        <v>horizontal</v>
      </c>
      <c r="F292" s="2" t="s">
        <v>1138</v>
      </c>
      <c r="G292" s="1"/>
      <c r="H292" s="13" t="str">
        <f>LOWER(G292)</f>
        <v/>
      </c>
    </row>
    <row r="293" spans="1:8" x14ac:dyDescent="0.3">
      <c r="A293" s="6" t="s">
        <v>1133</v>
      </c>
      <c r="B293" s="11" t="s">
        <v>1147</v>
      </c>
      <c r="C293" s="1">
        <v>1</v>
      </c>
      <c r="D293" s="12" t="str">
        <f>IFERROR(SUBSTITUTE(_xlfn.TEXTAFTER(correspondance[[#This Row],[origin.path]],"enum_"),"_id",""),"")</f>
        <v>inclinaison_vitrage</v>
      </c>
      <c r="E293" s="12" t="str" cm="1">
        <f t="array" ref="E293">IFERROR(INDEX(enums[lib],MATCH(1,(enums[enum]=correspondance[[#This Row],[origin.enum]])*(enums[value]=correspondance[[#This Row],[origin.value]]),0),1),"")</f>
        <v>inf25°</v>
      </c>
      <c r="F293" s="2" t="s">
        <v>1139</v>
      </c>
      <c r="G293" s="1">
        <v>10</v>
      </c>
      <c r="H293" s="13" t="str">
        <f>LOWER(G293)</f>
        <v>10</v>
      </c>
    </row>
    <row r="294" spans="1:8" x14ac:dyDescent="0.3">
      <c r="A294" s="6" t="s">
        <v>1133</v>
      </c>
      <c r="B294" s="11" t="s">
        <v>1147</v>
      </c>
      <c r="C294" s="1">
        <v>2</v>
      </c>
      <c r="D294" s="12" t="str">
        <f>IFERROR(SUBSTITUTE(_xlfn.TEXTAFTER(correspondance[[#This Row],[origin.path]],"enum_"),"_id",""),"")</f>
        <v>inclinaison_vitrage</v>
      </c>
      <c r="E294" s="12" t="str" cm="1">
        <f t="array" ref="E294">IFERROR(INDEX(enums[lib],MATCH(1,(enums[enum]=correspondance[[#This Row],[origin.enum]])*(enums[value]=correspondance[[#This Row],[origin.value]]),0),1),"")</f>
        <v>25°-75°</v>
      </c>
      <c r="F294" s="2" t="s">
        <v>1139</v>
      </c>
      <c r="G294" s="1">
        <v>50</v>
      </c>
      <c r="H294" s="13" t="str">
        <f t="shared" ref="H294:H296" si="10">LOWER(G294)</f>
        <v>50</v>
      </c>
    </row>
    <row r="295" spans="1:8" x14ac:dyDescent="0.3">
      <c r="A295" s="6" t="s">
        <v>1133</v>
      </c>
      <c r="B295" s="11" t="s">
        <v>1147</v>
      </c>
      <c r="C295" s="1">
        <v>3</v>
      </c>
      <c r="D295" s="12" t="str">
        <f>IFERROR(SUBSTITUTE(_xlfn.TEXTAFTER(correspondance[[#This Row],[origin.path]],"enum_"),"_id",""),"")</f>
        <v>inclinaison_vitrage</v>
      </c>
      <c r="E295" s="12" t="str" cm="1">
        <f t="array" ref="E295">IFERROR(INDEX(enums[lib],MATCH(1,(enums[enum]=correspondance[[#This Row],[origin.enum]])*(enums[value]=correspondance[[#This Row],[origin.value]]),0),1),"")</f>
        <v>sup75°</v>
      </c>
      <c r="F295" s="2" t="s">
        <v>1139</v>
      </c>
      <c r="G295" s="1">
        <v>90</v>
      </c>
      <c r="H295" s="13" t="str">
        <f t="shared" si="10"/>
        <v>90</v>
      </c>
    </row>
    <row r="296" spans="1:8" x14ac:dyDescent="0.3">
      <c r="A296" s="6" t="s">
        <v>1133</v>
      </c>
      <c r="B296" s="11" t="s">
        <v>1147</v>
      </c>
      <c r="C296" s="1">
        <v>4</v>
      </c>
      <c r="D296" s="12" t="str">
        <f>IFERROR(SUBSTITUTE(_xlfn.TEXTAFTER(correspondance[[#This Row],[origin.path]],"enum_"),"_id",""),"")</f>
        <v>inclinaison_vitrage</v>
      </c>
      <c r="E296" s="12" t="str" cm="1">
        <f t="array" ref="E296">IFERROR(INDEX(enums[lib],MATCH(1,(enums[enum]=correspondance[[#This Row],[origin.enum]])*(enums[value]=correspondance[[#This Row],[origin.value]]),0),1),"")</f>
        <v>horizontal</v>
      </c>
      <c r="F296" s="2" t="s">
        <v>1139</v>
      </c>
      <c r="G296" s="1">
        <v>0</v>
      </c>
      <c r="H296" s="13" t="str">
        <f t="shared" si="1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6871-2935-41B6-93B6-02BC94BF75D6}">
  <dimension ref="A1:C1002"/>
  <sheetViews>
    <sheetView tabSelected="1" topLeftCell="A972" zoomScale="85" zoomScaleNormal="85" workbookViewId="0">
      <selection activeCell="C985" sqref="C985"/>
    </sheetView>
  </sheetViews>
  <sheetFormatPr baseColWidth="10" defaultRowHeight="14.4" x14ac:dyDescent="0.3"/>
  <cols>
    <col min="1" max="1" width="28.21875" style="1" bestFit="1" customWidth="1"/>
    <col min="2" max="2" width="11" style="1" bestFit="1" customWidth="1"/>
    <col min="3" max="3" width="73" style="1" customWidth="1"/>
  </cols>
  <sheetData>
    <row r="1" spans="1:3" x14ac:dyDescent="0.3">
      <c r="A1" s="1" t="s">
        <v>0</v>
      </c>
      <c r="B1" s="1" t="s">
        <v>933</v>
      </c>
      <c r="C1" s="1" t="s">
        <v>934</v>
      </c>
    </row>
    <row r="2" spans="1:3" x14ac:dyDescent="0.3">
      <c r="A2" s="1" t="s">
        <v>1</v>
      </c>
      <c r="B2" s="1">
        <v>1</v>
      </c>
      <c r="C2" s="1" t="s">
        <v>2</v>
      </c>
    </row>
    <row r="3" spans="1:3" x14ac:dyDescent="0.3">
      <c r="A3" s="1" t="s">
        <v>1</v>
      </c>
      <c r="B3" s="1">
        <v>1.1000000000000001</v>
      </c>
      <c r="C3" s="1" t="s">
        <v>3</v>
      </c>
    </row>
    <row r="4" spans="1:3" x14ac:dyDescent="0.3">
      <c r="A4" s="1" t="s">
        <v>1</v>
      </c>
      <c r="B4" s="1">
        <v>2</v>
      </c>
      <c r="C4" s="1" t="s">
        <v>4</v>
      </c>
    </row>
    <row r="5" spans="1:3" x14ac:dyDescent="0.3">
      <c r="A5" s="1" t="s">
        <v>1</v>
      </c>
      <c r="B5" s="1">
        <v>2.1</v>
      </c>
      <c r="C5" s="1" t="s">
        <v>5</v>
      </c>
    </row>
    <row r="6" spans="1:3" x14ac:dyDescent="0.3">
      <c r="A6" s="1" t="s">
        <v>1</v>
      </c>
      <c r="B6" s="1">
        <v>2.2000000000000002</v>
      </c>
      <c r="C6" s="1" t="s">
        <v>6</v>
      </c>
    </row>
    <row r="7" spans="1:3" x14ac:dyDescent="0.3">
      <c r="A7" s="1" t="s">
        <v>1</v>
      </c>
      <c r="B7" s="1">
        <v>2.2999999999999998</v>
      </c>
      <c r="C7" s="1" t="s">
        <v>7</v>
      </c>
    </row>
    <row r="8" spans="1:3" x14ac:dyDescent="0.3">
      <c r="A8" s="1" t="s">
        <v>1</v>
      </c>
      <c r="B8" s="1">
        <v>2.4</v>
      </c>
      <c r="C8" s="1" t="s">
        <v>8</v>
      </c>
    </row>
    <row r="9" spans="1:3" x14ac:dyDescent="0.3">
      <c r="A9" s="1" t="s">
        <v>1</v>
      </c>
      <c r="B9" s="1">
        <v>2.5</v>
      </c>
      <c r="C9" s="1" t="s">
        <v>9</v>
      </c>
    </row>
    <row r="10" spans="1:3" x14ac:dyDescent="0.3">
      <c r="A10" s="1" t="s">
        <v>10</v>
      </c>
      <c r="B10" s="1">
        <v>1</v>
      </c>
      <c r="C10" s="1" t="s">
        <v>11</v>
      </c>
    </row>
    <row r="11" spans="1:3" x14ac:dyDescent="0.3">
      <c r="A11" s="1" t="s">
        <v>10</v>
      </c>
      <c r="B11" s="1">
        <v>2</v>
      </c>
      <c r="C11" s="1" t="s">
        <v>12</v>
      </c>
    </row>
    <row r="12" spans="1:3" x14ac:dyDescent="0.3">
      <c r="A12" s="1" t="s">
        <v>10</v>
      </c>
      <c r="B12" s="1">
        <v>3</v>
      </c>
      <c r="C12" s="1" t="s">
        <v>13</v>
      </c>
    </row>
    <row r="13" spans="1:3" x14ac:dyDescent="0.3">
      <c r="A13" s="1" t="s">
        <v>10</v>
      </c>
      <c r="B13" s="1">
        <v>4</v>
      </c>
      <c r="C13" s="1" t="s">
        <v>14</v>
      </c>
    </row>
    <row r="14" spans="1:3" x14ac:dyDescent="0.3">
      <c r="A14" s="1" t="s">
        <v>15</v>
      </c>
      <c r="B14" s="1">
        <v>1</v>
      </c>
      <c r="C14" s="1" t="s">
        <v>16</v>
      </c>
    </row>
    <row r="15" spans="1:3" x14ac:dyDescent="0.3">
      <c r="A15" s="1" t="s">
        <v>15</v>
      </c>
      <c r="B15" s="1">
        <v>2</v>
      </c>
      <c r="C15" s="1" t="s">
        <v>17</v>
      </c>
    </row>
    <row r="16" spans="1:3" x14ac:dyDescent="0.3">
      <c r="A16" s="1" t="s">
        <v>15</v>
      </c>
      <c r="B16" s="1">
        <v>3</v>
      </c>
      <c r="C16" s="1" t="s">
        <v>18</v>
      </c>
    </row>
    <row r="17" spans="1:3" x14ac:dyDescent="0.3">
      <c r="A17" s="1" t="s">
        <v>15</v>
      </c>
      <c r="B17" s="1">
        <v>4</v>
      </c>
      <c r="C17" s="1" t="s">
        <v>19</v>
      </c>
    </row>
    <row r="18" spans="1:3" x14ac:dyDescent="0.3">
      <c r="A18" s="1" t="s">
        <v>15</v>
      </c>
      <c r="B18" s="1">
        <v>5</v>
      </c>
      <c r="C18" s="1" t="s">
        <v>20</v>
      </c>
    </row>
    <row r="19" spans="1:3" x14ac:dyDescent="0.3">
      <c r="A19" s="1" t="s">
        <v>15</v>
      </c>
      <c r="B19" s="1">
        <v>6</v>
      </c>
      <c r="C19" s="1" t="s">
        <v>21</v>
      </c>
    </row>
    <row r="20" spans="1:3" x14ac:dyDescent="0.3">
      <c r="A20" s="1" t="s">
        <v>15</v>
      </c>
      <c r="B20" s="1">
        <v>7</v>
      </c>
      <c r="C20" s="1" t="s">
        <v>22</v>
      </c>
    </row>
    <row r="21" spans="1:3" x14ac:dyDescent="0.3">
      <c r="A21" s="1" t="s">
        <v>15</v>
      </c>
      <c r="B21" s="1">
        <v>8</v>
      </c>
      <c r="C21" s="1" t="s">
        <v>23</v>
      </c>
    </row>
    <row r="22" spans="1:3" x14ac:dyDescent="0.3">
      <c r="A22" s="1" t="s">
        <v>15</v>
      </c>
      <c r="B22" s="1">
        <v>9</v>
      </c>
      <c r="C22" s="1" t="s">
        <v>24</v>
      </c>
    </row>
    <row r="23" spans="1:3" x14ac:dyDescent="0.3">
      <c r="A23" s="1" t="s">
        <v>15</v>
      </c>
      <c r="B23" s="1">
        <v>10</v>
      </c>
      <c r="C23" s="1" t="s">
        <v>25</v>
      </c>
    </row>
    <row r="24" spans="1:3" x14ac:dyDescent="0.3">
      <c r="A24" s="1" t="s">
        <v>15</v>
      </c>
      <c r="B24" s="1">
        <v>11</v>
      </c>
      <c r="C24" s="1" t="s">
        <v>26</v>
      </c>
    </row>
    <row r="25" spans="1:3" x14ac:dyDescent="0.3">
      <c r="A25" s="1" t="s">
        <v>15</v>
      </c>
      <c r="B25" s="1">
        <v>12</v>
      </c>
      <c r="C25" s="1" t="s">
        <v>27</v>
      </c>
    </row>
    <row r="26" spans="1:3" x14ac:dyDescent="0.3">
      <c r="A26" s="1" t="s">
        <v>15</v>
      </c>
      <c r="B26" s="1">
        <v>13</v>
      </c>
      <c r="C26" s="1" t="s">
        <v>28</v>
      </c>
    </row>
    <row r="27" spans="1:3" x14ac:dyDescent="0.3">
      <c r="A27" s="1" t="s">
        <v>15</v>
      </c>
      <c r="B27" s="1">
        <v>14</v>
      </c>
      <c r="C27" s="1" t="s">
        <v>29</v>
      </c>
    </row>
    <row r="28" spans="1:3" x14ac:dyDescent="0.3">
      <c r="A28" s="1" t="s">
        <v>15</v>
      </c>
      <c r="B28" s="1">
        <v>15</v>
      </c>
      <c r="C28" s="1" t="s">
        <v>30</v>
      </c>
    </row>
    <row r="29" spans="1:3" x14ac:dyDescent="0.3">
      <c r="A29" s="1" t="s">
        <v>15</v>
      </c>
      <c r="B29" s="1">
        <v>16</v>
      </c>
      <c r="C29" s="1" t="s">
        <v>31</v>
      </c>
    </row>
    <row r="30" spans="1:3" x14ac:dyDescent="0.3">
      <c r="A30" s="1" t="s">
        <v>15</v>
      </c>
      <c r="B30" s="1">
        <v>17</v>
      </c>
      <c r="C30" s="1" t="s">
        <v>32</v>
      </c>
    </row>
    <row r="31" spans="1:3" x14ac:dyDescent="0.3">
      <c r="A31" s="1" t="s">
        <v>15</v>
      </c>
      <c r="B31" s="1">
        <v>18</v>
      </c>
      <c r="C31" s="1" t="s">
        <v>33</v>
      </c>
    </row>
    <row r="32" spans="1:3" x14ac:dyDescent="0.3">
      <c r="A32" s="1" t="s">
        <v>15</v>
      </c>
      <c r="B32" s="1">
        <v>19</v>
      </c>
      <c r="C32" s="1" t="s">
        <v>34</v>
      </c>
    </row>
    <row r="33" spans="1:3" x14ac:dyDescent="0.3">
      <c r="A33" s="1" t="s">
        <v>15</v>
      </c>
      <c r="B33" s="1">
        <v>20</v>
      </c>
      <c r="C33" s="1" t="s">
        <v>35</v>
      </c>
    </row>
    <row r="34" spans="1:3" x14ac:dyDescent="0.3">
      <c r="A34" s="1" t="s">
        <v>15</v>
      </c>
      <c r="B34" s="1">
        <v>21</v>
      </c>
      <c r="C34" s="1" t="s">
        <v>36</v>
      </c>
    </row>
    <row r="35" spans="1:3" x14ac:dyDescent="0.3">
      <c r="A35" s="1" t="s">
        <v>15</v>
      </c>
      <c r="B35" s="1">
        <v>22</v>
      </c>
      <c r="C35" s="1" t="s">
        <v>37</v>
      </c>
    </row>
    <row r="36" spans="1:3" x14ac:dyDescent="0.3">
      <c r="A36" s="1" t="s">
        <v>15</v>
      </c>
      <c r="B36" s="1">
        <v>23</v>
      </c>
      <c r="C36" s="1" t="s">
        <v>38</v>
      </c>
    </row>
    <row r="37" spans="1:3" x14ac:dyDescent="0.3">
      <c r="A37" s="1" t="s">
        <v>15</v>
      </c>
      <c r="B37" s="1">
        <v>24</v>
      </c>
      <c r="C37" s="1" t="s">
        <v>39</v>
      </c>
    </row>
    <row r="38" spans="1:3" x14ac:dyDescent="0.3">
      <c r="A38" s="1" t="s">
        <v>15</v>
      </c>
      <c r="B38" s="1">
        <v>25</v>
      </c>
      <c r="C38" s="1" t="s">
        <v>40</v>
      </c>
    </row>
    <row r="39" spans="1:3" x14ac:dyDescent="0.3">
      <c r="A39" s="1" t="s">
        <v>15</v>
      </c>
      <c r="B39" s="1">
        <v>26</v>
      </c>
      <c r="C39" s="1" t="s">
        <v>41</v>
      </c>
    </row>
    <row r="40" spans="1:3" x14ac:dyDescent="0.3">
      <c r="A40" s="1" t="s">
        <v>15</v>
      </c>
      <c r="B40" s="1">
        <v>27</v>
      </c>
      <c r="C40" s="1" t="s">
        <v>42</v>
      </c>
    </row>
    <row r="41" spans="1:3" x14ac:dyDescent="0.3">
      <c r="A41" s="1" t="s">
        <v>15</v>
      </c>
      <c r="B41" s="1">
        <v>28</v>
      </c>
      <c r="C41" s="1" t="s">
        <v>43</v>
      </c>
    </row>
    <row r="42" spans="1:3" x14ac:dyDescent="0.3">
      <c r="A42" s="1" t="s">
        <v>15</v>
      </c>
      <c r="B42" s="1">
        <v>29</v>
      </c>
      <c r="C42" s="1" t="s">
        <v>44</v>
      </c>
    </row>
    <row r="43" spans="1:3" x14ac:dyDescent="0.3">
      <c r="A43" s="1" t="s">
        <v>15</v>
      </c>
      <c r="B43" s="1">
        <v>30</v>
      </c>
      <c r="C43" s="1" t="s">
        <v>45</v>
      </c>
    </row>
    <row r="44" spans="1:3" x14ac:dyDescent="0.3">
      <c r="A44" s="1" t="s">
        <v>15</v>
      </c>
      <c r="B44" s="1">
        <v>31</v>
      </c>
      <c r="C44" s="1" t="s">
        <v>46</v>
      </c>
    </row>
    <row r="45" spans="1:3" x14ac:dyDescent="0.3">
      <c r="A45" s="1" t="s">
        <v>15</v>
      </c>
      <c r="B45" s="1">
        <v>32</v>
      </c>
      <c r="C45" s="1" t="s">
        <v>47</v>
      </c>
    </row>
    <row r="46" spans="1:3" x14ac:dyDescent="0.3">
      <c r="A46" s="1" t="s">
        <v>48</v>
      </c>
      <c r="B46" s="1">
        <v>0</v>
      </c>
      <c r="C46" s="1" t="s">
        <v>49</v>
      </c>
    </row>
    <row r="47" spans="1:3" x14ac:dyDescent="0.3">
      <c r="A47" s="1" t="s">
        <v>48</v>
      </c>
      <c r="B47" s="1">
        <v>1</v>
      </c>
      <c r="C47" s="1" t="s">
        <v>50</v>
      </c>
    </row>
    <row r="48" spans="1:3" x14ac:dyDescent="0.3">
      <c r="A48" s="1" t="s">
        <v>48</v>
      </c>
      <c r="B48" s="1">
        <v>2</v>
      </c>
      <c r="C48" s="1" t="s">
        <v>51</v>
      </c>
    </row>
    <row r="49" spans="1:3" x14ac:dyDescent="0.3">
      <c r="A49" s="1" t="s">
        <v>52</v>
      </c>
      <c r="B49" s="1">
        <v>1</v>
      </c>
      <c r="C49" s="1" t="s">
        <v>53</v>
      </c>
    </row>
    <row r="50" spans="1:3" x14ac:dyDescent="0.3">
      <c r="A50" s="1" t="s">
        <v>52</v>
      </c>
      <c r="B50" s="1">
        <v>2</v>
      </c>
      <c r="C50" s="1" t="s">
        <v>54</v>
      </c>
    </row>
    <row r="51" spans="1:3" x14ac:dyDescent="0.3">
      <c r="A51" s="1" t="s">
        <v>55</v>
      </c>
      <c r="B51" s="1">
        <v>1</v>
      </c>
      <c r="C51" s="1" t="s">
        <v>56</v>
      </c>
    </row>
    <row r="52" spans="1:3" x14ac:dyDescent="0.3">
      <c r="A52" s="1" t="s">
        <v>55</v>
      </c>
      <c r="B52" s="1">
        <v>2</v>
      </c>
      <c r="C52" s="1" t="s">
        <v>57</v>
      </c>
    </row>
    <row r="53" spans="1:3" x14ac:dyDescent="0.3">
      <c r="A53" s="1" t="s">
        <v>55</v>
      </c>
      <c r="B53" s="1">
        <v>3</v>
      </c>
      <c r="C53" s="1" t="s">
        <v>58</v>
      </c>
    </row>
    <row r="54" spans="1:3" x14ac:dyDescent="0.3">
      <c r="A54" s="1" t="s">
        <v>55</v>
      </c>
      <c r="B54" s="1">
        <v>4</v>
      </c>
      <c r="C54" s="1" t="s">
        <v>59</v>
      </c>
    </row>
    <row r="55" spans="1:3" x14ac:dyDescent="0.3">
      <c r="A55" s="1" t="s">
        <v>55</v>
      </c>
      <c r="B55" s="1">
        <v>5</v>
      </c>
      <c r="C55" s="1" t="s">
        <v>60</v>
      </c>
    </row>
    <row r="56" spans="1:3" x14ac:dyDescent="0.3">
      <c r="A56" s="1" t="s">
        <v>61</v>
      </c>
      <c r="B56" s="1">
        <v>1</v>
      </c>
      <c r="C56" s="1" t="s">
        <v>62</v>
      </c>
    </row>
    <row r="57" spans="1:3" x14ac:dyDescent="0.3">
      <c r="A57" s="1" t="s">
        <v>61</v>
      </c>
      <c r="B57" s="1">
        <v>2</v>
      </c>
      <c r="C57" s="1" t="s">
        <v>63</v>
      </c>
    </row>
    <row r="58" spans="1:3" x14ac:dyDescent="0.3">
      <c r="A58" s="1" t="s">
        <v>61</v>
      </c>
      <c r="B58" s="1">
        <v>3</v>
      </c>
      <c r="C58" s="1" t="s">
        <v>64</v>
      </c>
    </row>
    <row r="59" spans="1:3" x14ac:dyDescent="0.3">
      <c r="A59" s="1" t="s">
        <v>61</v>
      </c>
      <c r="B59" s="1">
        <v>4</v>
      </c>
      <c r="C59" s="1" t="s">
        <v>65</v>
      </c>
    </row>
    <row r="60" spans="1:3" x14ac:dyDescent="0.3">
      <c r="A60" s="1" t="s">
        <v>61</v>
      </c>
      <c r="B60" s="1">
        <v>5</v>
      </c>
      <c r="C60" s="1" t="s">
        <v>66</v>
      </c>
    </row>
    <row r="61" spans="1:3" x14ac:dyDescent="0.3">
      <c r="A61" s="1" t="s">
        <v>61</v>
      </c>
      <c r="B61" s="1">
        <v>6</v>
      </c>
      <c r="C61" s="1" t="s">
        <v>67</v>
      </c>
    </row>
    <row r="62" spans="1:3" x14ac:dyDescent="0.3">
      <c r="A62" s="1" t="s">
        <v>61</v>
      </c>
      <c r="B62" s="1">
        <v>7</v>
      </c>
      <c r="C62" s="1" t="s">
        <v>68</v>
      </c>
    </row>
    <row r="63" spans="1:3" x14ac:dyDescent="0.3">
      <c r="A63" s="1" t="s">
        <v>61</v>
      </c>
      <c r="B63" s="1">
        <v>8</v>
      </c>
      <c r="C63" s="1" t="s">
        <v>69</v>
      </c>
    </row>
    <row r="64" spans="1:3" x14ac:dyDescent="0.3">
      <c r="A64" s="1" t="s">
        <v>61</v>
      </c>
      <c r="B64" s="1">
        <v>9</v>
      </c>
      <c r="C64" s="1" t="s">
        <v>70</v>
      </c>
    </row>
    <row r="65" spans="1:3" x14ac:dyDescent="0.3">
      <c r="A65" s="1" t="s">
        <v>61</v>
      </c>
      <c r="B65" s="1">
        <v>10</v>
      </c>
      <c r="C65" s="1" t="s">
        <v>71</v>
      </c>
    </row>
    <row r="66" spans="1:3" x14ac:dyDescent="0.3">
      <c r="A66" s="1" t="s">
        <v>61</v>
      </c>
      <c r="B66" s="1">
        <v>11</v>
      </c>
      <c r="C66" s="1" t="s">
        <v>72</v>
      </c>
    </row>
    <row r="67" spans="1:3" x14ac:dyDescent="0.3">
      <c r="A67" s="1" t="s">
        <v>61</v>
      </c>
      <c r="B67" s="1">
        <v>12</v>
      </c>
      <c r="C67" s="1" t="s">
        <v>73</v>
      </c>
    </row>
    <row r="68" spans="1:3" x14ac:dyDescent="0.3">
      <c r="A68" s="1" t="s">
        <v>61</v>
      </c>
      <c r="B68" s="1">
        <v>13</v>
      </c>
      <c r="C68" s="1" t="s">
        <v>74</v>
      </c>
    </row>
    <row r="69" spans="1:3" x14ac:dyDescent="0.3">
      <c r="A69" s="1" t="s">
        <v>61</v>
      </c>
      <c r="B69" s="1">
        <v>14</v>
      </c>
      <c r="C69" s="1" t="s">
        <v>75</v>
      </c>
    </row>
    <row r="70" spans="1:3" x14ac:dyDescent="0.3">
      <c r="A70" s="1" t="s">
        <v>61</v>
      </c>
      <c r="B70" s="1">
        <v>15</v>
      </c>
      <c r="C70" s="1" t="s">
        <v>76</v>
      </c>
    </row>
    <row r="71" spans="1:3" x14ac:dyDescent="0.3">
      <c r="A71" s="1" t="s">
        <v>61</v>
      </c>
      <c r="B71" s="1">
        <v>16</v>
      </c>
      <c r="C71" s="1" t="s">
        <v>77</v>
      </c>
    </row>
    <row r="72" spans="1:3" x14ac:dyDescent="0.3">
      <c r="A72" s="1" t="s">
        <v>61</v>
      </c>
      <c r="B72" s="1">
        <v>17</v>
      </c>
      <c r="C72" s="1" t="s">
        <v>78</v>
      </c>
    </row>
    <row r="73" spans="1:3" x14ac:dyDescent="0.3">
      <c r="A73" s="1" t="s">
        <v>61</v>
      </c>
      <c r="B73" s="1">
        <v>18</v>
      </c>
      <c r="C73" s="1" t="s">
        <v>79</v>
      </c>
    </row>
    <row r="74" spans="1:3" x14ac:dyDescent="0.3">
      <c r="A74" s="1" t="s">
        <v>61</v>
      </c>
      <c r="B74" s="1">
        <v>19</v>
      </c>
      <c r="C74" s="1" t="s">
        <v>80</v>
      </c>
    </row>
    <row r="75" spans="1:3" x14ac:dyDescent="0.3">
      <c r="A75" s="1" t="s">
        <v>61</v>
      </c>
      <c r="B75" s="1">
        <v>20</v>
      </c>
      <c r="C75" s="1" t="s">
        <v>81</v>
      </c>
    </row>
    <row r="76" spans="1:3" x14ac:dyDescent="0.3">
      <c r="A76" s="1" t="s">
        <v>61</v>
      </c>
      <c r="B76" s="1">
        <v>21</v>
      </c>
      <c r="C76" s="1" t="s">
        <v>82</v>
      </c>
    </row>
    <row r="77" spans="1:3" x14ac:dyDescent="0.3">
      <c r="A77" s="1" t="s">
        <v>61</v>
      </c>
      <c r="B77" s="1">
        <v>22</v>
      </c>
      <c r="C77" s="1" t="s">
        <v>83</v>
      </c>
    </row>
    <row r="78" spans="1:3" x14ac:dyDescent="0.3">
      <c r="A78" s="1" t="s">
        <v>61</v>
      </c>
      <c r="B78" s="1">
        <v>23</v>
      </c>
      <c r="C78" s="1" t="s">
        <v>84</v>
      </c>
    </row>
    <row r="79" spans="1:3" x14ac:dyDescent="0.3">
      <c r="A79" s="1" t="s">
        <v>61</v>
      </c>
      <c r="B79" s="1">
        <v>24</v>
      </c>
      <c r="C79" s="1" t="s">
        <v>85</v>
      </c>
    </row>
    <row r="80" spans="1:3" x14ac:dyDescent="0.3">
      <c r="A80" s="1" t="s">
        <v>61</v>
      </c>
      <c r="B80" s="1">
        <v>25</v>
      </c>
      <c r="C80" s="1" t="s">
        <v>86</v>
      </c>
    </row>
    <row r="81" spans="1:3" x14ac:dyDescent="0.3">
      <c r="A81" s="1" t="s">
        <v>61</v>
      </c>
      <c r="B81" s="1">
        <v>26</v>
      </c>
      <c r="C81" s="1" t="s">
        <v>87</v>
      </c>
    </row>
    <row r="82" spans="1:3" x14ac:dyDescent="0.3">
      <c r="A82" s="1" t="s">
        <v>61</v>
      </c>
      <c r="B82" s="1">
        <v>27</v>
      </c>
      <c r="C82" s="1" t="s">
        <v>88</v>
      </c>
    </row>
    <row r="83" spans="1:3" x14ac:dyDescent="0.3">
      <c r="A83" s="1" t="s">
        <v>61</v>
      </c>
      <c r="B83" s="1">
        <v>28</v>
      </c>
      <c r="C83" s="1" t="s">
        <v>89</v>
      </c>
    </row>
    <row r="84" spans="1:3" x14ac:dyDescent="0.3">
      <c r="A84" s="1" t="s">
        <v>61</v>
      </c>
      <c r="B84" s="1">
        <v>29</v>
      </c>
      <c r="C84" s="1" t="s">
        <v>90</v>
      </c>
    </row>
    <row r="85" spans="1:3" x14ac:dyDescent="0.3">
      <c r="A85" s="1" t="s">
        <v>61</v>
      </c>
      <c r="B85" s="1">
        <v>30</v>
      </c>
      <c r="C85" s="1" t="s">
        <v>91</v>
      </c>
    </row>
    <row r="86" spans="1:3" x14ac:dyDescent="0.3">
      <c r="A86" s="1" t="s">
        <v>61</v>
      </c>
      <c r="B86" s="1">
        <v>31</v>
      </c>
      <c r="C86" s="1" t="s">
        <v>92</v>
      </c>
    </row>
    <row r="87" spans="1:3" x14ac:dyDescent="0.3">
      <c r="A87" s="1" t="s">
        <v>61</v>
      </c>
      <c r="B87" s="1">
        <v>32</v>
      </c>
      <c r="C87" s="1" t="s">
        <v>93</v>
      </c>
    </row>
    <row r="88" spans="1:3" x14ac:dyDescent="0.3">
      <c r="A88" s="1" t="s">
        <v>61</v>
      </c>
      <c r="B88" s="1">
        <v>33</v>
      </c>
      <c r="C88" s="1" t="s">
        <v>94</v>
      </c>
    </row>
    <row r="89" spans="1:3" x14ac:dyDescent="0.3">
      <c r="A89" s="1" t="s">
        <v>61</v>
      </c>
      <c r="B89" s="1">
        <v>34</v>
      </c>
      <c r="C89" s="1" t="s">
        <v>95</v>
      </c>
    </row>
    <row r="90" spans="1:3" x14ac:dyDescent="0.3">
      <c r="A90" s="1" t="s">
        <v>61</v>
      </c>
      <c r="B90" s="1">
        <v>35</v>
      </c>
      <c r="C90" s="1" t="s">
        <v>96</v>
      </c>
    </row>
    <row r="91" spans="1:3" x14ac:dyDescent="0.3">
      <c r="A91" s="1" t="s">
        <v>61</v>
      </c>
      <c r="B91" s="1">
        <v>36</v>
      </c>
      <c r="C91" s="1" t="s">
        <v>97</v>
      </c>
    </row>
    <row r="92" spans="1:3" x14ac:dyDescent="0.3">
      <c r="A92" s="1" t="s">
        <v>61</v>
      </c>
      <c r="B92" s="1">
        <v>37</v>
      </c>
      <c r="C92" s="1" t="s">
        <v>98</v>
      </c>
    </row>
    <row r="93" spans="1:3" x14ac:dyDescent="0.3">
      <c r="A93" s="1" t="s">
        <v>61</v>
      </c>
      <c r="B93" s="1">
        <v>38</v>
      </c>
      <c r="C93" s="1" t="s">
        <v>99</v>
      </c>
    </row>
    <row r="94" spans="1:3" x14ac:dyDescent="0.3">
      <c r="A94" s="1" t="s">
        <v>61</v>
      </c>
      <c r="B94" s="1">
        <v>39</v>
      </c>
      <c r="C94" s="1" t="s">
        <v>100</v>
      </c>
    </row>
    <row r="95" spans="1:3" x14ac:dyDescent="0.3">
      <c r="A95" s="1" t="s">
        <v>61</v>
      </c>
      <c r="B95" s="1">
        <v>40</v>
      </c>
      <c r="C95" s="1" t="s">
        <v>101</v>
      </c>
    </row>
    <row r="96" spans="1:3" x14ac:dyDescent="0.3">
      <c r="A96" s="1" t="s">
        <v>102</v>
      </c>
      <c r="B96" s="1">
        <v>1</v>
      </c>
      <c r="C96" s="1" t="s">
        <v>103</v>
      </c>
    </row>
    <row r="97" spans="1:3" x14ac:dyDescent="0.3">
      <c r="A97" s="1" t="s">
        <v>102</v>
      </c>
      <c r="B97" s="1">
        <v>2</v>
      </c>
      <c r="C97" s="1" t="s">
        <v>104</v>
      </c>
    </row>
    <row r="98" spans="1:3" x14ac:dyDescent="0.3">
      <c r="A98" s="1" t="s">
        <v>102</v>
      </c>
      <c r="B98" s="1">
        <v>3</v>
      </c>
      <c r="C98" s="1" t="s">
        <v>105</v>
      </c>
    </row>
    <row r="99" spans="1:3" x14ac:dyDescent="0.3">
      <c r="A99" s="1" t="s">
        <v>102</v>
      </c>
      <c r="B99" s="1">
        <v>4</v>
      </c>
      <c r="C99" s="1" t="s">
        <v>106</v>
      </c>
    </row>
    <row r="100" spans="1:3" x14ac:dyDescent="0.3">
      <c r="A100" s="1" t="s">
        <v>102</v>
      </c>
      <c r="B100" s="1">
        <v>5</v>
      </c>
      <c r="C100" s="1" t="s">
        <v>107</v>
      </c>
    </row>
    <row r="101" spans="1:3" x14ac:dyDescent="0.3">
      <c r="A101" s="1" t="s">
        <v>102</v>
      </c>
      <c r="B101" s="1">
        <v>6</v>
      </c>
      <c r="C101" s="1" t="s">
        <v>108</v>
      </c>
    </row>
    <row r="102" spans="1:3" x14ac:dyDescent="0.3">
      <c r="A102" s="1" t="s">
        <v>102</v>
      </c>
      <c r="B102" s="1">
        <v>7</v>
      </c>
      <c r="C102" s="1" t="s">
        <v>109</v>
      </c>
    </row>
    <row r="103" spans="1:3" x14ac:dyDescent="0.3">
      <c r="A103" s="1" t="s">
        <v>102</v>
      </c>
      <c r="B103" s="1">
        <v>8</v>
      </c>
      <c r="C103" s="1" t="s">
        <v>110</v>
      </c>
    </row>
    <row r="104" spans="1:3" x14ac:dyDescent="0.3">
      <c r="A104" s="1" t="s">
        <v>111</v>
      </c>
      <c r="B104" s="1">
        <v>1</v>
      </c>
      <c r="C104" s="1" t="s">
        <v>112</v>
      </c>
    </row>
    <row r="105" spans="1:3" x14ac:dyDescent="0.3">
      <c r="A105" s="1" t="s">
        <v>111</v>
      </c>
      <c r="B105" s="1">
        <v>2</v>
      </c>
      <c r="C105" s="1" t="s">
        <v>113</v>
      </c>
    </row>
    <row r="106" spans="1:3" x14ac:dyDescent="0.3">
      <c r="A106" s="1" t="s">
        <v>111</v>
      </c>
      <c r="B106" s="1">
        <v>3</v>
      </c>
      <c r="C106" s="1" t="s">
        <v>114</v>
      </c>
    </row>
    <row r="107" spans="1:3" x14ac:dyDescent="0.3">
      <c r="A107" s="1" t="s">
        <v>111</v>
      </c>
      <c r="B107" s="1">
        <v>4</v>
      </c>
      <c r="C107" s="1" t="s">
        <v>115</v>
      </c>
    </row>
    <row r="108" spans="1:3" x14ac:dyDescent="0.3">
      <c r="A108" s="1" t="s">
        <v>116</v>
      </c>
      <c r="B108" s="1">
        <v>1</v>
      </c>
      <c r="C108" s="1" t="s">
        <v>117</v>
      </c>
    </row>
    <row r="109" spans="1:3" x14ac:dyDescent="0.3">
      <c r="A109" s="1" t="s">
        <v>116</v>
      </c>
      <c r="B109" s="1">
        <v>2</v>
      </c>
      <c r="C109" s="1" t="s">
        <v>118</v>
      </c>
    </row>
    <row r="110" spans="1:3" x14ac:dyDescent="0.3">
      <c r="A110" s="1" t="s">
        <v>116</v>
      </c>
      <c r="B110" s="1">
        <v>3</v>
      </c>
      <c r="C110" s="1" t="s">
        <v>119</v>
      </c>
    </row>
    <row r="111" spans="1:3" x14ac:dyDescent="0.3">
      <c r="A111" s="1" t="s">
        <v>120</v>
      </c>
      <c r="B111" s="1">
        <v>1</v>
      </c>
      <c r="C111" s="1" t="s">
        <v>121</v>
      </c>
    </row>
    <row r="112" spans="1:3" x14ac:dyDescent="0.3">
      <c r="A112" s="1" t="s">
        <v>120</v>
      </c>
      <c r="B112" s="1">
        <v>2</v>
      </c>
      <c r="C112" s="1" t="s">
        <v>122</v>
      </c>
    </row>
    <row r="113" spans="1:3" x14ac:dyDescent="0.3">
      <c r="A113" s="1" t="s">
        <v>120</v>
      </c>
      <c r="B113" s="1">
        <v>3</v>
      </c>
      <c r="C113" s="1" t="s">
        <v>123</v>
      </c>
    </row>
    <row r="114" spans="1:3" x14ac:dyDescent="0.3">
      <c r="A114" s="1" t="s">
        <v>120</v>
      </c>
      <c r="B114" s="1">
        <v>4</v>
      </c>
      <c r="C114" s="1" t="s">
        <v>124</v>
      </c>
    </row>
    <row r="115" spans="1:3" x14ac:dyDescent="0.3">
      <c r="A115" s="1" t="s">
        <v>120</v>
      </c>
      <c r="B115" s="1">
        <v>5</v>
      </c>
      <c r="C115" s="1" t="s">
        <v>125</v>
      </c>
    </row>
    <row r="116" spans="1:3" x14ac:dyDescent="0.3">
      <c r="A116" s="1" t="s">
        <v>120</v>
      </c>
      <c r="B116" s="1">
        <v>6</v>
      </c>
      <c r="C116" s="1" t="s">
        <v>126</v>
      </c>
    </row>
    <row r="117" spans="1:3" x14ac:dyDescent="0.3">
      <c r="A117" s="1" t="s">
        <v>120</v>
      </c>
      <c r="B117" s="1">
        <v>7</v>
      </c>
      <c r="C117" s="1" t="s">
        <v>127</v>
      </c>
    </row>
    <row r="118" spans="1:3" x14ac:dyDescent="0.3">
      <c r="A118" s="1" t="s">
        <v>120</v>
      </c>
      <c r="B118" s="1">
        <v>8</v>
      </c>
      <c r="C118" s="1" t="s">
        <v>128</v>
      </c>
    </row>
    <row r="119" spans="1:3" x14ac:dyDescent="0.3">
      <c r="A119" s="1" t="s">
        <v>120</v>
      </c>
      <c r="B119" s="1">
        <v>9</v>
      </c>
      <c r="C119" s="1" t="s">
        <v>129</v>
      </c>
    </row>
    <row r="120" spans="1:3" x14ac:dyDescent="0.3">
      <c r="A120" s="1" t="s">
        <v>120</v>
      </c>
      <c r="B120" s="1">
        <v>10</v>
      </c>
      <c r="C120" s="1" t="s">
        <v>130</v>
      </c>
    </row>
    <row r="121" spans="1:3" x14ac:dyDescent="0.3">
      <c r="A121" s="1" t="s">
        <v>131</v>
      </c>
      <c r="B121" s="1">
        <v>1</v>
      </c>
      <c r="C121" s="1" t="s">
        <v>121</v>
      </c>
    </row>
    <row r="122" spans="1:3" x14ac:dyDescent="0.3">
      <c r="A122" s="1" t="s">
        <v>131</v>
      </c>
      <c r="B122" s="1">
        <v>2</v>
      </c>
      <c r="C122" s="1" t="s">
        <v>122</v>
      </c>
    </row>
    <row r="123" spans="1:3" x14ac:dyDescent="0.3">
      <c r="A123" s="1" t="s">
        <v>131</v>
      </c>
      <c r="B123" s="1">
        <v>3</v>
      </c>
      <c r="C123" s="1" t="s">
        <v>123</v>
      </c>
    </row>
    <row r="124" spans="1:3" x14ac:dyDescent="0.3">
      <c r="A124" s="1" t="s">
        <v>131</v>
      </c>
      <c r="B124" s="1">
        <v>4</v>
      </c>
      <c r="C124" s="1" t="s">
        <v>124</v>
      </c>
    </row>
    <row r="125" spans="1:3" x14ac:dyDescent="0.3">
      <c r="A125" s="1" t="s">
        <v>131</v>
      </c>
      <c r="B125" s="1">
        <v>5</v>
      </c>
      <c r="C125" s="1" t="s">
        <v>125</v>
      </c>
    </row>
    <row r="126" spans="1:3" x14ac:dyDescent="0.3">
      <c r="A126" s="1" t="s">
        <v>131</v>
      </c>
      <c r="B126" s="1">
        <v>6</v>
      </c>
      <c r="C126" s="1" t="s">
        <v>126</v>
      </c>
    </row>
    <row r="127" spans="1:3" x14ac:dyDescent="0.3">
      <c r="A127" s="1" t="s">
        <v>131</v>
      </c>
      <c r="B127" s="1">
        <v>7</v>
      </c>
      <c r="C127" s="1" t="s">
        <v>127</v>
      </c>
    </row>
    <row r="128" spans="1:3" x14ac:dyDescent="0.3">
      <c r="A128" s="1" t="s">
        <v>131</v>
      </c>
      <c r="B128" s="1">
        <v>8</v>
      </c>
      <c r="C128" s="1" t="s">
        <v>128</v>
      </c>
    </row>
    <row r="129" spans="1:3" x14ac:dyDescent="0.3">
      <c r="A129" s="1" t="s">
        <v>131</v>
      </c>
      <c r="B129" s="1">
        <v>9</v>
      </c>
      <c r="C129" s="1" t="s">
        <v>129</v>
      </c>
    </row>
    <row r="130" spans="1:3" x14ac:dyDescent="0.3">
      <c r="A130" s="1" t="s">
        <v>131</v>
      </c>
      <c r="B130" s="1">
        <v>10</v>
      </c>
      <c r="C130" s="1" t="s">
        <v>130</v>
      </c>
    </row>
    <row r="131" spans="1:3" x14ac:dyDescent="0.3">
      <c r="A131" s="1" t="s">
        <v>132</v>
      </c>
      <c r="B131" s="1">
        <v>1</v>
      </c>
      <c r="C131" s="1" t="s">
        <v>133</v>
      </c>
    </row>
    <row r="132" spans="1:3" x14ac:dyDescent="0.3">
      <c r="A132" s="1" t="s">
        <v>132</v>
      </c>
      <c r="B132" s="1">
        <v>2</v>
      </c>
      <c r="C132" s="1" t="s">
        <v>134</v>
      </c>
    </row>
    <row r="133" spans="1:3" x14ac:dyDescent="0.3">
      <c r="A133" s="1" t="s">
        <v>132</v>
      </c>
      <c r="B133" s="1">
        <v>3</v>
      </c>
      <c r="C133" s="1" t="s">
        <v>135</v>
      </c>
    </row>
    <row r="134" spans="1:3" x14ac:dyDescent="0.3">
      <c r="A134" s="1" t="s">
        <v>132</v>
      </c>
      <c r="B134" s="1">
        <v>4</v>
      </c>
      <c r="C134" s="1" t="s">
        <v>136</v>
      </c>
    </row>
    <row r="135" spans="1:3" x14ac:dyDescent="0.3">
      <c r="A135" s="1" t="s">
        <v>132</v>
      </c>
      <c r="B135" s="1">
        <v>5</v>
      </c>
      <c r="C135" s="1" t="s">
        <v>137</v>
      </c>
    </row>
    <row r="136" spans="1:3" x14ac:dyDescent="0.3">
      <c r="A136" s="1" t="s">
        <v>132</v>
      </c>
      <c r="B136" s="1">
        <v>6</v>
      </c>
      <c r="C136" s="1" t="s">
        <v>138</v>
      </c>
    </row>
    <row r="137" spans="1:3" x14ac:dyDescent="0.3">
      <c r="A137" s="1" t="s">
        <v>132</v>
      </c>
      <c r="B137" s="1">
        <v>7</v>
      </c>
      <c r="C137" s="1" t="s">
        <v>139</v>
      </c>
    </row>
    <row r="138" spans="1:3" x14ac:dyDescent="0.3">
      <c r="A138" s="1" t="s">
        <v>132</v>
      </c>
      <c r="B138" s="1">
        <v>8</v>
      </c>
      <c r="C138" s="1" t="s">
        <v>140</v>
      </c>
    </row>
    <row r="139" spans="1:3" x14ac:dyDescent="0.3">
      <c r="A139" s="1" t="s">
        <v>141</v>
      </c>
      <c r="B139" s="1">
        <v>1</v>
      </c>
      <c r="C139" s="1" t="s">
        <v>142</v>
      </c>
    </row>
    <row r="140" spans="1:3" x14ac:dyDescent="0.3">
      <c r="A140" s="1" t="s">
        <v>141</v>
      </c>
      <c r="B140" s="1">
        <v>2</v>
      </c>
      <c r="C140" s="1" t="s">
        <v>143</v>
      </c>
    </row>
    <row r="141" spans="1:3" x14ac:dyDescent="0.3">
      <c r="A141" s="1" t="s">
        <v>141</v>
      </c>
      <c r="B141" s="1">
        <v>3</v>
      </c>
      <c r="C141" s="1" t="s">
        <v>144</v>
      </c>
    </row>
    <row r="142" spans="1:3" x14ac:dyDescent="0.3">
      <c r="A142" s="1" t="s">
        <v>145</v>
      </c>
      <c r="B142" s="1">
        <v>1</v>
      </c>
      <c r="C142" s="1" t="s">
        <v>146</v>
      </c>
    </row>
    <row r="143" spans="1:3" x14ac:dyDescent="0.3">
      <c r="A143" s="1" t="s">
        <v>145</v>
      </c>
      <c r="B143" s="1">
        <v>2</v>
      </c>
      <c r="C143" s="1" t="s">
        <v>147</v>
      </c>
    </row>
    <row r="144" spans="1:3" x14ac:dyDescent="0.3">
      <c r="A144" s="1" t="s">
        <v>145</v>
      </c>
      <c r="B144" s="1">
        <v>3</v>
      </c>
      <c r="C144" s="1" t="s">
        <v>148</v>
      </c>
    </row>
    <row r="145" spans="1:3" x14ac:dyDescent="0.3">
      <c r="A145" s="1" t="s">
        <v>145</v>
      </c>
      <c r="B145" s="1">
        <v>4</v>
      </c>
      <c r="C145" s="1" t="s">
        <v>149</v>
      </c>
    </row>
    <row r="146" spans="1:3" x14ac:dyDescent="0.3">
      <c r="A146" s="1" t="s">
        <v>145</v>
      </c>
      <c r="B146" s="1">
        <v>5</v>
      </c>
      <c r="C146" s="1" t="s">
        <v>150</v>
      </c>
    </row>
    <row r="147" spans="1:3" x14ac:dyDescent="0.3">
      <c r="A147" s="1" t="s">
        <v>145</v>
      </c>
      <c r="B147" s="1">
        <v>6</v>
      </c>
      <c r="C147" s="1" t="s">
        <v>151</v>
      </c>
    </row>
    <row r="148" spans="1:3" x14ac:dyDescent="0.3">
      <c r="A148" s="1" t="s">
        <v>145</v>
      </c>
      <c r="B148" s="1">
        <v>7</v>
      </c>
      <c r="C148" s="1" t="s">
        <v>152</v>
      </c>
    </row>
    <row r="149" spans="1:3" x14ac:dyDescent="0.3">
      <c r="A149" s="1" t="s">
        <v>145</v>
      </c>
      <c r="B149" s="1">
        <v>8</v>
      </c>
      <c r="C149" s="1" t="s">
        <v>153</v>
      </c>
    </row>
    <row r="150" spans="1:3" x14ac:dyDescent="0.3">
      <c r="A150" s="1" t="s">
        <v>145</v>
      </c>
      <c r="B150" s="1">
        <v>9</v>
      </c>
      <c r="C150" s="1" t="s">
        <v>154</v>
      </c>
    </row>
    <row r="151" spans="1:3" x14ac:dyDescent="0.3">
      <c r="A151" s="1" t="s">
        <v>145</v>
      </c>
      <c r="B151" s="1">
        <v>10</v>
      </c>
      <c r="C151" s="1" t="s">
        <v>155</v>
      </c>
    </row>
    <row r="152" spans="1:3" x14ac:dyDescent="0.3">
      <c r="A152" s="1" t="s">
        <v>156</v>
      </c>
      <c r="B152" s="1">
        <v>1</v>
      </c>
      <c r="C152" s="1" t="s">
        <v>157</v>
      </c>
    </row>
    <row r="153" spans="1:3" x14ac:dyDescent="0.3">
      <c r="A153" s="1" t="s">
        <v>156</v>
      </c>
      <c r="B153" s="1">
        <v>2</v>
      </c>
      <c r="C153" s="1" t="s">
        <v>158</v>
      </c>
    </row>
    <row r="154" spans="1:3" x14ac:dyDescent="0.3">
      <c r="A154" s="1" t="s">
        <v>156</v>
      </c>
      <c r="B154" s="1">
        <v>3</v>
      </c>
      <c r="C154" s="1" t="s">
        <v>159</v>
      </c>
    </row>
    <row r="155" spans="1:3" x14ac:dyDescent="0.3">
      <c r="A155" s="1" t="s">
        <v>156</v>
      </c>
      <c r="B155" s="1">
        <v>4</v>
      </c>
      <c r="C155" s="1" t="s">
        <v>160</v>
      </c>
    </row>
    <row r="156" spans="1:3" x14ac:dyDescent="0.3">
      <c r="A156" s="1" t="s">
        <v>156</v>
      </c>
      <c r="B156" s="1">
        <v>5</v>
      </c>
      <c r="C156" s="1" t="s">
        <v>161</v>
      </c>
    </row>
    <row r="157" spans="1:3" x14ac:dyDescent="0.3">
      <c r="A157" s="1" t="s">
        <v>162</v>
      </c>
      <c r="B157" s="1">
        <v>1</v>
      </c>
      <c r="C157" s="1" t="s">
        <v>163</v>
      </c>
    </row>
    <row r="158" spans="1:3" x14ac:dyDescent="0.3">
      <c r="A158" s="1" t="s">
        <v>162</v>
      </c>
      <c r="B158" s="1">
        <v>2</v>
      </c>
      <c r="C158" s="1" t="s">
        <v>164</v>
      </c>
    </row>
    <row r="159" spans="1:3" x14ac:dyDescent="0.3">
      <c r="A159" s="1" t="s">
        <v>162</v>
      </c>
      <c r="B159" s="1">
        <v>3</v>
      </c>
      <c r="C159" s="1" t="s">
        <v>155</v>
      </c>
    </row>
    <row r="160" spans="1:3" x14ac:dyDescent="0.3">
      <c r="A160" s="1" t="s">
        <v>165</v>
      </c>
      <c r="B160" s="1">
        <v>1</v>
      </c>
      <c r="C160" s="1" t="s">
        <v>163</v>
      </c>
    </row>
    <row r="161" spans="1:3" x14ac:dyDescent="0.3">
      <c r="A161" s="1" t="s">
        <v>165</v>
      </c>
      <c r="B161" s="1">
        <v>2</v>
      </c>
      <c r="C161" s="1" t="s">
        <v>164</v>
      </c>
    </row>
    <row r="162" spans="1:3" x14ac:dyDescent="0.3">
      <c r="A162" s="1" t="s">
        <v>165</v>
      </c>
      <c r="B162" s="1">
        <v>3</v>
      </c>
      <c r="C162" s="1" t="s">
        <v>166</v>
      </c>
    </row>
    <row r="163" spans="1:3" x14ac:dyDescent="0.3">
      <c r="A163" s="1" t="s">
        <v>167</v>
      </c>
      <c r="B163" s="1">
        <v>1</v>
      </c>
      <c r="C163" s="1" t="s">
        <v>168</v>
      </c>
    </row>
    <row r="164" spans="1:3" x14ac:dyDescent="0.3">
      <c r="A164" s="1" t="s">
        <v>167</v>
      </c>
      <c r="B164" s="1">
        <v>2</v>
      </c>
      <c r="C164" s="1" t="s">
        <v>169</v>
      </c>
    </row>
    <row r="165" spans="1:3" x14ac:dyDescent="0.3">
      <c r="A165" s="1" t="s">
        <v>167</v>
      </c>
      <c r="B165" s="1">
        <v>3</v>
      </c>
      <c r="C165" s="1" t="s">
        <v>170</v>
      </c>
    </row>
    <row r="166" spans="1:3" x14ac:dyDescent="0.3">
      <c r="A166" s="1" t="s">
        <v>167</v>
      </c>
      <c r="B166" s="1">
        <v>4</v>
      </c>
      <c r="C166" s="1" t="s">
        <v>171</v>
      </c>
    </row>
    <row r="167" spans="1:3" x14ac:dyDescent="0.3">
      <c r="A167" s="1" t="s">
        <v>167</v>
      </c>
      <c r="B167" s="1">
        <v>5</v>
      </c>
      <c r="C167" s="1" t="s">
        <v>172</v>
      </c>
    </row>
    <row r="168" spans="1:3" x14ac:dyDescent="0.3">
      <c r="A168" s="1" t="s">
        <v>167</v>
      </c>
      <c r="B168" s="1">
        <v>6</v>
      </c>
      <c r="C168" s="1" t="s">
        <v>173</v>
      </c>
    </row>
    <row r="169" spans="1:3" x14ac:dyDescent="0.3">
      <c r="A169" s="1" t="s">
        <v>167</v>
      </c>
      <c r="B169" s="1">
        <v>7</v>
      </c>
      <c r="C169" s="1" t="s">
        <v>174</v>
      </c>
    </row>
    <row r="170" spans="1:3" x14ac:dyDescent="0.3">
      <c r="A170" s="1" t="s">
        <v>167</v>
      </c>
      <c r="B170" s="1">
        <v>8</v>
      </c>
      <c r="C170" s="1" t="s">
        <v>175</v>
      </c>
    </row>
    <row r="171" spans="1:3" x14ac:dyDescent="0.3">
      <c r="A171" s="1" t="s">
        <v>167</v>
      </c>
      <c r="B171" s="1">
        <v>9</v>
      </c>
      <c r="C171" s="1" t="s">
        <v>176</v>
      </c>
    </row>
    <row r="172" spans="1:3" x14ac:dyDescent="0.3">
      <c r="A172" s="1" t="s">
        <v>167</v>
      </c>
      <c r="B172" s="1">
        <v>10</v>
      </c>
      <c r="C172" s="1" t="s">
        <v>177</v>
      </c>
    </row>
    <row r="173" spans="1:3" x14ac:dyDescent="0.3">
      <c r="A173" s="1" t="s">
        <v>167</v>
      </c>
      <c r="B173" s="1">
        <v>11</v>
      </c>
      <c r="C173" s="1" t="s">
        <v>178</v>
      </c>
    </row>
    <row r="174" spans="1:3" x14ac:dyDescent="0.3">
      <c r="A174" s="1" t="s">
        <v>167</v>
      </c>
      <c r="B174" s="1">
        <v>12</v>
      </c>
      <c r="C174" s="1" t="s">
        <v>179</v>
      </c>
    </row>
    <row r="175" spans="1:3" x14ac:dyDescent="0.3">
      <c r="A175" s="1" t="s">
        <v>167</v>
      </c>
      <c r="B175" s="1">
        <v>13</v>
      </c>
      <c r="C175" s="1" t="s">
        <v>180</v>
      </c>
    </row>
    <row r="176" spans="1:3" x14ac:dyDescent="0.3">
      <c r="A176" s="1" t="s">
        <v>167</v>
      </c>
      <c r="B176" s="1">
        <v>14</v>
      </c>
      <c r="C176" s="1" t="s">
        <v>181</v>
      </c>
    </row>
    <row r="177" spans="1:3" x14ac:dyDescent="0.3">
      <c r="A177" s="1" t="s">
        <v>167</v>
      </c>
      <c r="B177" s="1">
        <v>15</v>
      </c>
      <c r="C177" s="1" t="s">
        <v>182</v>
      </c>
    </row>
    <row r="178" spans="1:3" x14ac:dyDescent="0.3">
      <c r="A178" s="1" t="s">
        <v>183</v>
      </c>
      <c r="B178" s="1">
        <v>1</v>
      </c>
      <c r="C178" s="1" t="s">
        <v>184</v>
      </c>
    </row>
    <row r="179" spans="1:3" x14ac:dyDescent="0.3">
      <c r="A179" s="1" t="s">
        <v>183</v>
      </c>
      <c r="B179" s="1">
        <v>2</v>
      </c>
      <c r="C179" s="1" t="s">
        <v>185</v>
      </c>
    </row>
    <row r="180" spans="1:3" x14ac:dyDescent="0.3">
      <c r="A180" s="1" t="s">
        <v>183</v>
      </c>
      <c r="B180" s="1">
        <v>3</v>
      </c>
      <c r="C180" s="1" t="s">
        <v>186</v>
      </c>
    </row>
    <row r="181" spans="1:3" x14ac:dyDescent="0.3">
      <c r="A181" s="1" t="s">
        <v>183</v>
      </c>
      <c r="B181" s="1">
        <v>4</v>
      </c>
      <c r="C181" s="1" t="s">
        <v>187</v>
      </c>
    </row>
    <row r="182" spans="1:3" x14ac:dyDescent="0.3">
      <c r="A182" s="1" t="s">
        <v>183</v>
      </c>
      <c r="B182" s="1">
        <v>5</v>
      </c>
      <c r="C182" s="1" t="s">
        <v>188</v>
      </c>
    </row>
    <row r="183" spans="1:3" x14ac:dyDescent="0.3">
      <c r="A183" s="1" t="s">
        <v>183</v>
      </c>
      <c r="B183" s="1">
        <v>6</v>
      </c>
      <c r="C183" s="1" t="s">
        <v>189</v>
      </c>
    </row>
    <row r="184" spans="1:3" x14ac:dyDescent="0.3">
      <c r="A184" s="1" t="s">
        <v>183</v>
      </c>
      <c r="B184" s="1">
        <v>7</v>
      </c>
      <c r="C184" s="1" t="s">
        <v>190</v>
      </c>
    </row>
    <row r="185" spans="1:3" x14ac:dyDescent="0.3">
      <c r="A185" s="1" t="s">
        <v>183</v>
      </c>
      <c r="B185" s="1">
        <v>8</v>
      </c>
      <c r="C185" s="1" t="s">
        <v>191</v>
      </c>
    </row>
    <row r="186" spans="1:3" x14ac:dyDescent="0.3">
      <c r="A186" s="1" t="s">
        <v>192</v>
      </c>
      <c r="B186" s="1">
        <v>1</v>
      </c>
      <c r="C186" s="1" t="s">
        <v>163</v>
      </c>
    </row>
    <row r="187" spans="1:3" x14ac:dyDescent="0.3">
      <c r="A187" s="1" t="s">
        <v>192</v>
      </c>
      <c r="B187" s="1">
        <v>2</v>
      </c>
      <c r="C187" s="1" t="s">
        <v>193</v>
      </c>
    </row>
    <row r="188" spans="1:3" x14ac:dyDescent="0.3">
      <c r="A188" s="1" t="s">
        <v>192</v>
      </c>
      <c r="B188" s="1">
        <v>3</v>
      </c>
      <c r="C188" s="1" t="s">
        <v>190</v>
      </c>
    </row>
    <row r="189" spans="1:3" x14ac:dyDescent="0.3">
      <c r="A189" s="1" t="s">
        <v>194</v>
      </c>
      <c r="B189" s="1">
        <v>1</v>
      </c>
      <c r="C189" s="1" t="s">
        <v>163</v>
      </c>
    </row>
    <row r="190" spans="1:3" x14ac:dyDescent="0.3">
      <c r="A190" s="1" t="s">
        <v>194</v>
      </c>
      <c r="B190" s="1">
        <v>2</v>
      </c>
      <c r="C190" s="1" t="s">
        <v>195</v>
      </c>
    </row>
    <row r="191" spans="1:3" x14ac:dyDescent="0.3">
      <c r="A191" s="1" t="s">
        <v>196</v>
      </c>
      <c r="B191" s="1">
        <v>1</v>
      </c>
      <c r="C191" s="1" t="s">
        <v>197</v>
      </c>
    </row>
    <row r="192" spans="1:3" x14ac:dyDescent="0.3">
      <c r="A192" s="1" t="s">
        <v>196</v>
      </c>
      <c r="B192" s="1">
        <v>2</v>
      </c>
      <c r="C192" s="1" t="s">
        <v>198</v>
      </c>
    </row>
    <row r="193" spans="1:3" x14ac:dyDescent="0.3">
      <c r="A193" s="1" t="s">
        <v>196</v>
      </c>
      <c r="B193" s="1">
        <v>3</v>
      </c>
      <c r="C193" s="1" t="s">
        <v>199</v>
      </c>
    </row>
    <row r="194" spans="1:3" x14ac:dyDescent="0.3">
      <c r="A194" s="1" t="s">
        <v>196</v>
      </c>
      <c r="B194" s="1">
        <v>4</v>
      </c>
      <c r="C194" s="1" t="s">
        <v>200</v>
      </c>
    </row>
    <row r="195" spans="1:3" x14ac:dyDescent="0.3">
      <c r="A195" s="1" t="s">
        <v>201</v>
      </c>
      <c r="B195" s="1">
        <v>1</v>
      </c>
      <c r="C195" s="1" t="s">
        <v>202</v>
      </c>
    </row>
    <row r="196" spans="1:3" x14ac:dyDescent="0.3">
      <c r="A196" s="1" t="s">
        <v>201</v>
      </c>
      <c r="B196" s="1">
        <v>2</v>
      </c>
      <c r="C196" s="1" t="s">
        <v>203</v>
      </c>
    </row>
    <row r="197" spans="1:3" x14ac:dyDescent="0.3">
      <c r="A197" s="1" t="s">
        <v>201</v>
      </c>
      <c r="B197" s="1">
        <v>3</v>
      </c>
      <c r="C197" s="1" t="s">
        <v>204</v>
      </c>
    </row>
    <row r="198" spans="1:3" x14ac:dyDescent="0.3">
      <c r="A198" s="1" t="s">
        <v>201</v>
      </c>
      <c r="B198" s="1">
        <v>4</v>
      </c>
      <c r="C198" s="1" t="s">
        <v>205</v>
      </c>
    </row>
    <row r="199" spans="1:3" x14ac:dyDescent="0.3">
      <c r="A199" s="1" t="s">
        <v>201</v>
      </c>
      <c r="B199" s="1">
        <v>5</v>
      </c>
      <c r="C199" s="1" t="s">
        <v>206</v>
      </c>
    </row>
    <row r="200" spans="1:3" x14ac:dyDescent="0.3">
      <c r="A200" s="1" t="s">
        <v>201</v>
      </c>
      <c r="B200" s="1">
        <v>6</v>
      </c>
      <c r="C200" s="1" t="s">
        <v>207</v>
      </c>
    </row>
    <row r="201" spans="1:3" x14ac:dyDescent="0.3">
      <c r="A201" s="1" t="s">
        <v>201</v>
      </c>
      <c r="B201" s="1">
        <v>7</v>
      </c>
      <c r="C201" s="1" t="s">
        <v>208</v>
      </c>
    </row>
    <row r="202" spans="1:3" x14ac:dyDescent="0.3">
      <c r="A202" s="1" t="s">
        <v>201</v>
      </c>
      <c r="B202" s="1">
        <v>8</v>
      </c>
      <c r="C202" s="1" t="s">
        <v>209</v>
      </c>
    </row>
    <row r="203" spans="1:3" x14ac:dyDescent="0.3">
      <c r="A203" s="1" t="s">
        <v>201</v>
      </c>
      <c r="B203" s="1">
        <v>9</v>
      </c>
      <c r="C203" s="1" t="s">
        <v>210</v>
      </c>
    </row>
    <row r="204" spans="1:3" x14ac:dyDescent="0.3">
      <c r="A204" s="1" t="s">
        <v>201</v>
      </c>
      <c r="B204" s="1">
        <v>10</v>
      </c>
      <c r="C204" s="1" t="s">
        <v>211</v>
      </c>
    </row>
    <row r="205" spans="1:3" x14ac:dyDescent="0.3">
      <c r="A205" s="1" t="s">
        <v>201</v>
      </c>
      <c r="B205" s="1">
        <v>11</v>
      </c>
      <c r="C205" s="1" t="s">
        <v>212</v>
      </c>
    </row>
    <row r="206" spans="1:3" x14ac:dyDescent="0.3">
      <c r="A206" s="1" t="s">
        <v>201</v>
      </c>
      <c r="B206" s="1">
        <v>12</v>
      </c>
      <c r="C206" s="1" t="s">
        <v>213</v>
      </c>
    </row>
    <row r="207" spans="1:3" x14ac:dyDescent="0.3">
      <c r="A207" s="1" t="s">
        <v>201</v>
      </c>
      <c r="B207" s="1">
        <v>13</v>
      </c>
      <c r="C207" s="1" t="s">
        <v>214</v>
      </c>
    </row>
    <row r="208" spans="1:3" x14ac:dyDescent="0.3">
      <c r="A208" s="1" t="s">
        <v>201</v>
      </c>
      <c r="B208" s="1">
        <v>14</v>
      </c>
      <c r="C208" s="1" t="s">
        <v>215</v>
      </c>
    </row>
    <row r="209" spans="1:3" x14ac:dyDescent="0.3">
      <c r="A209" s="1" t="s">
        <v>201</v>
      </c>
      <c r="B209" s="1">
        <v>15</v>
      </c>
      <c r="C209" s="1" t="s">
        <v>216</v>
      </c>
    </row>
    <row r="210" spans="1:3" x14ac:dyDescent="0.3">
      <c r="A210" s="1" t="s">
        <v>201</v>
      </c>
      <c r="B210" s="1">
        <v>16</v>
      </c>
      <c r="C210" s="1" t="s">
        <v>217</v>
      </c>
    </row>
    <row r="211" spans="1:3" x14ac:dyDescent="0.3">
      <c r="A211" s="1" t="s">
        <v>201</v>
      </c>
      <c r="B211" s="1">
        <v>17</v>
      </c>
      <c r="C211" s="1" t="s">
        <v>218</v>
      </c>
    </row>
    <row r="212" spans="1:3" x14ac:dyDescent="0.3">
      <c r="A212" s="1" t="s">
        <v>201</v>
      </c>
      <c r="B212" s="1">
        <v>18</v>
      </c>
      <c r="C212" s="1" t="s">
        <v>219</v>
      </c>
    </row>
    <row r="213" spans="1:3" x14ac:dyDescent="0.3">
      <c r="A213" s="1" t="s">
        <v>201</v>
      </c>
      <c r="B213" s="1">
        <v>19</v>
      </c>
      <c r="C213" s="1" t="s">
        <v>220</v>
      </c>
    </row>
    <row r="214" spans="1:3" x14ac:dyDescent="0.3">
      <c r="A214" s="1" t="s">
        <v>201</v>
      </c>
      <c r="B214" s="1">
        <v>20</v>
      </c>
      <c r="C214" s="1" t="s">
        <v>221</v>
      </c>
    </row>
    <row r="215" spans="1:3" x14ac:dyDescent="0.3">
      <c r="A215" s="1" t="s">
        <v>201</v>
      </c>
      <c r="B215" s="1">
        <v>21</v>
      </c>
      <c r="C215" s="1" t="s">
        <v>222</v>
      </c>
    </row>
    <row r="216" spans="1:3" x14ac:dyDescent="0.3">
      <c r="A216" s="1" t="s">
        <v>201</v>
      </c>
      <c r="B216" s="1">
        <v>22</v>
      </c>
      <c r="C216" s="1" t="s">
        <v>223</v>
      </c>
    </row>
    <row r="217" spans="1:3" x14ac:dyDescent="0.3">
      <c r="A217" s="1" t="s">
        <v>224</v>
      </c>
      <c r="B217" s="1">
        <v>1</v>
      </c>
      <c r="C217" s="1" t="s">
        <v>225</v>
      </c>
    </row>
    <row r="218" spans="1:3" x14ac:dyDescent="0.3">
      <c r="A218" s="1" t="s">
        <v>224</v>
      </c>
      <c r="B218" s="1">
        <v>2</v>
      </c>
      <c r="C218" s="1" t="s">
        <v>226</v>
      </c>
    </row>
    <row r="219" spans="1:3" x14ac:dyDescent="0.3">
      <c r="A219" s="1" t="s">
        <v>224</v>
      </c>
      <c r="B219" s="1">
        <v>3</v>
      </c>
      <c r="C219" s="1" t="s">
        <v>227</v>
      </c>
    </row>
    <row r="220" spans="1:3" x14ac:dyDescent="0.3">
      <c r="A220" s="1" t="s">
        <v>224</v>
      </c>
      <c r="B220" s="1">
        <v>4</v>
      </c>
      <c r="C220" s="1" t="s">
        <v>228</v>
      </c>
    </row>
    <row r="221" spans="1:3" x14ac:dyDescent="0.3">
      <c r="A221" s="1" t="s">
        <v>224</v>
      </c>
      <c r="B221" s="1">
        <v>5</v>
      </c>
      <c r="C221" s="1" t="s">
        <v>229</v>
      </c>
    </row>
    <row r="222" spans="1:3" x14ac:dyDescent="0.3">
      <c r="A222" s="1" t="s">
        <v>224</v>
      </c>
      <c r="B222" s="1">
        <v>6</v>
      </c>
      <c r="C222" s="1" t="s">
        <v>230</v>
      </c>
    </row>
    <row r="223" spans="1:3" x14ac:dyDescent="0.3">
      <c r="A223" s="1" t="s">
        <v>224</v>
      </c>
      <c r="B223" s="1">
        <v>7</v>
      </c>
      <c r="C223" s="1" t="s">
        <v>231</v>
      </c>
    </row>
    <row r="224" spans="1:3" x14ac:dyDescent="0.3">
      <c r="A224" s="1" t="s">
        <v>224</v>
      </c>
      <c r="B224" s="1">
        <v>8</v>
      </c>
      <c r="C224" s="1" t="s">
        <v>232</v>
      </c>
    </row>
    <row r="225" spans="1:3" x14ac:dyDescent="0.3">
      <c r="A225" s="1" t="s">
        <v>224</v>
      </c>
      <c r="B225" s="1">
        <v>9</v>
      </c>
      <c r="C225" s="1" t="s">
        <v>233</v>
      </c>
    </row>
    <row r="226" spans="1:3" x14ac:dyDescent="0.3">
      <c r="A226" s="1" t="s">
        <v>224</v>
      </c>
      <c r="B226" s="1">
        <v>10</v>
      </c>
      <c r="C226" s="1" t="s">
        <v>234</v>
      </c>
    </row>
    <row r="227" spans="1:3" x14ac:dyDescent="0.3">
      <c r="A227" s="1" t="s">
        <v>224</v>
      </c>
      <c r="B227" s="1">
        <v>11</v>
      </c>
      <c r="C227" s="1" t="s">
        <v>235</v>
      </c>
    </row>
    <row r="228" spans="1:3" x14ac:dyDescent="0.3">
      <c r="A228" s="1" t="s">
        <v>236</v>
      </c>
      <c r="B228" s="1">
        <v>1</v>
      </c>
      <c r="C228" s="1" t="s">
        <v>237</v>
      </c>
    </row>
    <row r="229" spans="1:3" x14ac:dyDescent="0.3">
      <c r="A229" s="1" t="s">
        <v>236</v>
      </c>
      <c r="B229" s="1">
        <v>2</v>
      </c>
      <c r="C229" s="1" t="s">
        <v>238</v>
      </c>
    </row>
    <row r="230" spans="1:3" x14ac:dyDescent="0.3">
      <c r="A230" s="1" t="s">
        <v>236</v>
      </c>
      <c r="B230" s="1">
        <v>3</v>
      </c>
      <c r="C230" s="1" t="s">
        <v>239</v>
      </c>
    </row>
    <row r="231" spans="1:3" x14ac:dyDescent="0.3">
      <c r="A231" s="1" t="s">
        <v>236</v>
      </c>
      <c r="B231" s="1">
        <v>4</v>
      </c>
      <c r="C231" s="1" t="s">
        <v>240</v>
      </c>
    </row>
    <row r="232" spans="1:3" x14ac:dyDescent="0.3">
      <c r="A232" s="1" t="s">
        <v>236</v>
      </c>
      <c r="B232" s="1">
        <v>5</v>
      </c>
      <c r="C232" s="1" t="s">
        <v>241</v>
      </c>
    </row>
    <row r="233" spans="1:3" x14ac:dyDescent="0.3">
      <c r="A233" s="1" t="s">
        <v>236</v>
      </c>
      <c r="B233" s="1">
        <v>6</v>
      </c>
      <c r="C233" s="1" t="s">
        <v>242</v>
      </c>
    </row>
    <row r="234" spans="1:3" x14ac:dyDescent="0.3">
      <c r="A234" s="1" t="s">
        <v>236</v>
      </c>
      <c r="B234" s="1">
        <v>7</v>
      </c>
      <c r="C234" s="1" t="s">
        <v>243</v>
      </c>
    </row>
    <row r="235" spans="1:3" x14ac:dyDescent="0.3">
      <c r="A235" s="1" t="s">
        <v>236</v>
      </c>
      <c r="B235" s="1">
        <v>8</v>
      </c>
      <c r="C235" s="1" t="s">
        <v>244</v>
      </c>
    </row>
    <row r="236" spans="1:3" x14ac:dyDescent="0.3">
      <c r="A236" s="1" t="s">
        <v>236</v>
      </c>
      <c r="B236" s="1">
        <v>9</v>
      </c>
      <c r="C236" s="1" t="s">
        <v>245</v>
      </c>
    </row>
    <row r="237" spans="1:3" x14ac:dyDescent="0.3">
      <c r="A237" s="1" t="s">
        <v>236</v>
      </c>
      <c r="B237" s="1">
        <v>10</v>
      </c>
      <c r="C237" s="1" t="s">
        <v>246</v>
      </c>
    </row>
    <row r="238" spans="1:3" x14ac:dyDescent="0.3">
      <c r="A238" s="1" t="s">
        <v>236</v>
      </c>
      <c r="B238" s="1">
        <v>11</v>
      </c>
      <c r="C238" s="1" t="s">
        <v>247</v>
      </c>
    </row>
    <row r="239" spans="1:3" x14ac:dyDescent="0.3">
      <c r="A239" s="1" t="s">
        <v>236</v>
      </c>
      <c r="B239" s="1">
        <v>12</v>
      </c>
      <c r="C239" s="1" t="s">
        <v>248</v>
      </c>
    </row>
    <row r="240" spans="1:3" x14ac:dyDescent="0.3">
      <c r="A240" s="1" t="s">
        <v>236</v>
      </c>
      <c r="B240" s="1">
        <v>13</v>
      </c>
      <c r="C240" s="1" t="s">
        <v>249</v>
      </c>
    </row>
    <row r="241" spans="1:3" x14ac:dyDescent="0.3">
      <c r="A241" s="1" t="s">
        <v>236</v>
      </c>
      <c r="B241" s="1">
        <v>14</v>
      </c>
      <c r="C241" s="1" t="s">
        <v>250</v>
      </c>
    </row>
    <row r="242" spans="1:3" x14ac:dyDescent="0.3">
      <c r="A242" s="1" t="s">
        <v>236</v>
      </c>
      <c r="B242" s="1">
        <v>15</v>
      </c>
      <c r="C242" s="1" t="s">
        <v>251</v>
      </c>
    </row>
    <row r="243" spans="1:3" x14ac:dyDescent="0.3">
      <c r="A243" s="1" t="s">
        <v>236</v>
      </c>
      <c r="B243" s="1">
        <v>16</v>
      </c>
      <c r="C243" s="1" t="s">
        <v>252</v>
      </c>
    </row>
    <row r="244" spans="1:3" x14ac:dyDescent="0.3">
      <c r="A244" s="1" t="s">
        <v>236</v>
      </c>
      <c r="B244" s="1">
        <v>17</v>
      </c>
      <c r="C244" s="1" t="s">
        <v>253</v>
      </c>
    </row>
    <row r="245" spans="1:3" x14ac:dyDescent="0.3">
      <c r="A245" s="1" t="s">
        <v>236</v>
      </c>
      <c r="B245" s="1">
        <v>18</v>
      </c>
      <c r="C245" s="1" t="s">
        <v>254</v>
      </c>
    </row>
    <row r="246" spans="1:3" x14ac:dyDescent="0.3">
      <c r="A246" s="1" t="s">
        <v>236</v>
      </c>
      <c r="B246" s="1">
        <v>19</v>
      </c>
      <c r="C246" s="1" t="s">
        <v>255</v>
      </c>
    </row>
    <row r="247" spans="1:3" x14ac:dyDescent="0.3">
      <c r="A247" s="1" t="s">
        <v>236</v>
      </c>
      <c r="B247" s="1">
        <v>20</v>
      </c>
      <c r="C247" s="1" t="s">
        <v>256</v>
      </c>
    </row>
    <row r="248" spans="1:3" x14ac:dyDescent="0.3">
      <c r="A248" s="1" t="s">
        <v>236</v>
      </c>
      <c r="B248" s="1">
        <v>21</v>
      </c>
      <c r="C248" s="1" t="s">
        <v>257</v>
      </c>
    </row>
    <row r="249" spans="1:3" x14ac:dyDescent="0.3">
      <c r="A249" s="1" t="s">
        <v>236</v>
      </c>
      <c r="B249" s="1">
        <v>22</v>
      </c>
      <c r="C249" s="1" t="s">
        <v>258</v>
      </c>
    </row>
    <row r="250" spans="1:3" x14ac:dyDescent="0.3">
      <c r="A250" s="1" t="s">
        <v>236</v>
      </c>
      <c r="B250" s="1">
        <v>23</v>
      </c>
      <c r="C250" s="1" t="s">
        <v>259</v>
      </c>
    </row>
    <row r="251" spans="1:3" x14ac:dyDescent="0.3">
      <c r="A251" s="1" t="s">
        <v>236</v>
      </c>
      <c r="B251" s="1">
        <v>24</v>
      </c>
      <c r="C251" s="1" t="s">
        <v>260</v>
      </c>
    </row>
    <row r="252" spans="1:3" x14ac:dyDescent="0.3">
      <c r="A252" s="1" t="s">
        <v>236</v>
      </c>
      <c r="B252" s="1">
        <v>25</v>
      </c>
      <c r="C252" s="1" t="s">
        <v>261</v>
      </c>
    </row>
    <row r="253" spans="1:3" x14ac:dyDescent="0.3">
      <c r="A253" s="1" t="s">
        <v>236</v>
      </c>
      <c r="B253" s="1">
        <v>26</v>
      </c>
      <c r="C253" s="1" t="s">
        <v>262</v>
      </c>
    </row>
    <row r="254" spans="1:3" x14ac:dyDescent="0.3">
      <c r="A254" s="1" t="s">
        <v>236</v>
      </c>
      <c r="B254" s="1">
        <v>27</v>
      </c>
      <c r="C254" s="1" t="s">
        <v>263</v>
      </c>
    </row>
    <row r="255" spans="1:3" x14ac:dyDescent="0.3">
      <c r="A255" s="1" t="s">
        <v>264</v>
      </c>
      <c r="B255" s="1">
        <v>1</v>
      </c>
      <c r="C255" s="1" t="s">
        <v>237</v>
      </c>
    </row>
    <row r="256" spans="1:3" x14ac:dyDescent="0.3">
      <c r="A256" s="1" t="s">
        <v>264</v>
      </c>
      <c r="B256" s="1">
        <v>2</v>
      </c>
      <c r="C256" s="1" t="s">
        <v>146</v>
      </c>
    </row>
    <row r="257" spans="1:3" x14ac:dyDescent="0.3">
      <c r="A257" s="1" t="s">
        <v>264</v>
      </c>
      <c r="B257" s="1">
        <v>3</v>
      </c>
      <c r="C257" s="1" t="s">
        <v>265</v>
      </c>
    </row>
    <row r="258" spans="1:3" x14ac:dyDescent="0.3">
      <c r="A258" s="1" t="s">
        <v>264</v>
      </c>
      <c r="B258" s="1">
        <v>4</v>
      </c>
      <c r="C258" s="1" t="s">
        <v>266</v>
      </c>
    </row>
    <row r="259" spans="1:3" x14ac:dyDescent="0.3">
      <c r="A259" s="1" t="s">
        <v>264</v>
      </c>
      <c r="B259" s="1">
        <v>5</v>
      </c>
      <c r="C259" s="1" t="s">
        <v>267</v>
      </c>
    </row>
    <row r="260" spans="1:3" x14ac:dyDescent="0.3">
      <c r="A260" s="1" t="s">
        <v>264</v>
      </c>
      <c r="B260" s="1">
        <v>6</v>
      </c>
      <c r="C260" s="1" t="s">
        <v>268</v>
      </c>
    </row>
    <row r="261" spans="1:3" x14ac:dyDescent="0.3">
      <c r="A261" s="1" t="s">
        <v>264</v>
      </c>
      <c r="B261" s="1">
        <v>7</v>
      </c>
      <c r="C261" s="1" t="s">
        <v>269</v>
      </c>
    </row>
    <row r="262" spans="1:3" x14ac:dyDescent="0.3">
      <c r="A262" s="1" t="s">
        <v>264</v>
      </c>
      <c r="B262" s="1">
        <v>8</v>
      </c>
      <c r="C262" s="1" t="s">
        <v>270</v>
      </c>
    </row>
    <row r="263" spans="1:3" x14ac:dyDescent="0.3">
      <c r="A263" s="1" t="s">
        <v>264</v>
      </c>
      <c r="B263" s="1">
        <v>9</v>
      </c>
      <c r="C263" s="1" t="s">
        <v>271</v>
      </c>
    </row>
    <row r="264" spans="1:3" x14ac:dyDescent="0.3">
      <c r="A264" s="1" t="s">
        <v>272</v>
      </c>
      <c r="B264" s="1">
        <v>1</v>
      </c>
      <c r="C264" s="1" t="s">
        <v>237</v>
      </c>
    </row>
    <row r="265" spans="1:3" x14ac:dyDescent="0.3">
      <c r="A265" s="1" t="s">
        <v>272</v>
      </c>
      <c r="B265" s="1">
        <v>2</v>
      </c>
      <c r="C265" s="1" t="s">
        <v>273</v>
      </c>
    </row>
    <row r="266" spans="1:3" x14ac:dyDescent="0.3">
      <c r="A266" s="1" t="s">
        <v>272</v>
      </c>
      <c r="B266" s="1">
        <v>3</v>
      </c>
      <c r="C266" s="1" t="s">
        <v>274</v>
      </c>
    </row>
    <row r="267" spans="1:3" x14ac:dyDescent="0.3">
      <c r="A267" s="1" t="s">
        <v>272</v>
      </c>
      <c r="B267" s="1">
        <v>4</v>
      </c>
      <c r="C267" s="1" t="s">
        <v>275</v>
      </c>
    </row>
    <row r="268" spans="1:3" x14ac:dyDescent="0.3">
      <c r="A268" s="1" t="s">
        <v>272</v>
      </c>
      <c r="B268" s="1">
        <v>5</v>
      </c>
      <c r="C268" s="1" t="s">
        <v>276</v>
      </c>
    </row>
    <row r="269" spans="1:3" x14ac:dyDescent="0.3">
      <c r="A269" s="1" t="s">
        <v>277</v>
      </c>
      <c r="B269" s="1">
        <v>1</v>
      </c>
      <c r="C269" s="1" t="s">
        <v>237</v>
      </c>
    </row>
    <row r="270" spans="1:3" x14ac:dyDescent="0.3">
      <c r="A270" s="1" t="s">
        <v>277</v>
      </c>
      <c r="B270" s="1">
        <v>2</v>
      </c>
      <c r="C270" s="1" t="s">
        <v>278</v>
      </c>
    </row>
    <row r="271" spans="1:3" x14ac:dyDescent="0.3">
      <c r="A271" s="1" t="s">
        <v>277</v>
      </c>
      <c r="B271" s="1">
        <v>3</v>
      </c>
      <c r="C271" s="1" t="s">
        <v>279</v>
      </c>
    </row>
    <row r="272" spans="1:3" x14ac:dyDescent="0.3">
      <c r="A272" s="1" t="s">
        <v>277</v>
      </c>
      <c r="B272" s="1">
        <v>4</v>
      </c>
      <c r="C272" s="1" t="s">
        <v>280</v>
      </c>
    </row>
    <row r="273" spans="1:3" x14ac:dyDescent="0.3">
      <c r="A273" s="1" t="s">
        <v>277</v>
      </c>
      <c r="B273" s="1">
        <v>5</v>
      </c>
      <c r="C273" s="1" t="s">
        <v>281</v>
      </c>
    </row>
    <row r="274" spans="1:3" x14ac:dyDescent="0.3">
      <c r="A274" s="1" t="s">
        <v>277</v>
      </c>
      <c r="B274" s="1">
        <v>6</v>
      </c>
      <c r="C274" s="1" t="s">
        <v>282</v>
      </c>
    </row>
    <row r="275" spans="1:3" x14ac:dyDescent="0.3">
      <c r="A275" s="1" t="s">
        <v>277</v>
      </c>
      <c r="B275" s="1">
        <v>7</v>
      </c>
      <c r="C275" s="1" t="s">
        <v>283</v>
      </c>
    </row>
    <row r="276" spans="1:3" x14ac:dyDescent="0.3">
      <c r="A276" s="1" t="s">
        <v>277</v>
      </c>
      <c r="B276" s="1">
        <v>8</v>
      </c>
      <c r="C276" s="1" t="s">
        <v>284</v>
      </c>
    </row>
    <row r="277" spans="1:3" x14ac:dyDescent="0.3">
      <c r="A277" s="1" t="s">
        <v>277</v>
      </c>
      <c r="B277" s="1">
        <v>9</v>
      </c>
      <c r="C277" s="1" t="s">
        <v>285</v>
      </c>
    </row>
    <row r="278" spans="1:3" x14ac:dyDescent="0.3">
      <c r="A278" s="1" t="s">
        <v>277</v>
      </c>
      <c r="B278" s="1">
        <v>10</v>
      </c>
      <c r="C278" s="1" t="s">
        <v>286</v>
      </c>
    </row>
    <row r="279" spans="1:3" x14ac:dyDescent="0.3">
      <c r="A279" s="1" t="s">
        <v>277</v>
      </c>
      <c r="B279" s="1">
        <v>11</v>
      </c>
      <c r="C279" s="1" t="s">
        <v>287</v>
      </c>
    </row>
    <row r="280" spans="1:3" x14ac:dyDescent="0.3">
      <c r="A280" s="1" t="s">
        <v>277</v>
      </c>
      <c r="B280" s="1">
        <v>12</v>
      </c>
      <c r="C280" s="1" t="s">
        <v>288</v>
      </c>
    </row>
    <row r="281" spans="1:3" x14ac:dyDescent="0.3">
      <c r="A281" s="1" t="s">
        <v>277</v>
      </c>
      <c r="B281" s="1">
        <v>13</v>
      </c>
      <c r="C281" s="1" t="s">
        <v>289</v>
      </c>
    </row>
    <row r="282" spans="1:3" x14ac:dyDescent="0.3">
      <c r="A282" s="1" t="s">
        <v>290</v>
      </c>
      <c r="B282" s="1">
        <v>1</v>
      </c>
      <c r="C282" s="1" t="s">
        <v>237</v>
      </c>
    </row>
    <row r="283" spans="1:3" x14ac:dyDescent="0.3">
      <c r="A283" s="1" t="s">
        <v>290</v>
      </c>
      <c r="B283" s="1">
        <v>2</v>
      </c>
      <c r="C283" s="1" t="s">
        <v>291</v>
      </c>
    </row>
    <row r="284" spans="1:3" x14ac:dyDescent="0.3">
      <c r="A284" s="1" t="s">
        <v>290</v>
      </c>
      <c r="B284" s="1">
        <v>3</v>
      </c>
      <c r="C284" s="1" t="s">
        <v>292</v>
      </c>
    </row>
    <row r="285" spans="1:3" x14ac:dyDescent="0.3">
      <c r="A285" s="1" t="s">
        <v>290</v>
      </c>
      <c r="B285" s="1">
        <v>4</v>
      </c>
      <c r="C285" s="1" t="s">
        <v>293</v>
      </c>
    </row>
    <row r="286" spans="1:3" x14ac:dyDescent="0.3">
      <c r="A286" s="1" t="s">
        <v>290</v>
      </c>
      <c r="B286" s="1">
        <v>5</v>
      </c>
      <c r="C286" s="1" t="s">
        <v>294</v>
      </c>
    </row>
    <row r="287" spans="1:3" x14ac:dyDescent="0.3">
      <c r="A287" s="1" t="s">
        <v>290</v>
      </c>
      <c r="B287" s="1">
        <v>6</v>
      </c>
      <c r="C287" s="1" t="s">
        <v>295</v>
      </c>
    </row>
    <row r="288" spans="1:3" x14ac:dyDescent="0.3">
      <c r="A288" s="1" t="s">
        <v>290</v>
      </c>
      <c r="B288" s="1">
        <v>7</v>
      </c>
      <c r="C288" s="1" t="s">
        <v>282</v>
      </c>
    </row>
    <row r="289" spans="1:3" x14ac:dyDescent="0.3">
      <c r="A289" s="1" t="s">
        <v>290</v>
      </c>
      <c r="B289" s="1">
        <v>8</v>
      </c>
      <c r="C289" s="1" t="s">
        <v>285</v>
      </c>
    </row>
    <row r="290" spans="1:3" x14ac:dyDescent="0.3">
      <c r="A290" s="1" t="s">
        <v>290</v>
      </c>
      <c r="B290" s="1">
        <v>9</v>
      </c>
      <c r="C290" s="1" t="s">
        <v>296</v>
      </c>
    </row>
    <row r="291" spans="1:3" x14ac:dyDescent="0.3">
      <c r="A291" s="1" t="s">
        <v>290</v>
      </c>
      <c r="B291" s="1">
        <v>10</v>
      </c>
      <c r="C291" s="1" t="s">
        <v>297</v>
      </c>
    </row>
    <row r="292" spans="1:3" x14ac:dyDescent="0.3">
      <c r="A292" s="1" t="s">
        <v>290</v>
      </c>
      <c r="B292" s="1">
        <v>11</v>
      </c>
      <c r="C292" s="1" t="s">
        <v>298</v>
      </c>
    </row>
    <row r="293" spans="1:3" x14ac:dyDescent="0.3">
      <c r="A293" s="1" t="s">
        <v>290</v>
      </c>
      <c r="B293" s="1">
        <v>12</v>
      </c>
      <c r="C293" s="1" t="s">
        <v>299</v>
      </c>
    </row>
    <row r="294" spans="1:3" x14ac:dyDescent="0.3">
      <c r="A294" s="1" t="s">
        <v>290</v>
      </c>
      <c r="B294" s="1">
        <v>13</v>
      </c>
      <c r="C294" s="1" t="s">
        <v>300</v>
      </c>
    </row>
    <row r="295" spans="1:3" x14ac:dyDescent="0.3">
      <c r="A295" s="1" t="s">
        <v>290</v>
      </c>
      <c r="B295" s="1">
        <v>14</v>
      </c>
      <c r="C295" s="1" t="s">
        <v>301</v>
      </c>
    </row>
    <row r="296" spans="1:3" x14ac:dyDescent="0.3">
      <c r="A296" s="1" t="s">
        <v>290</v>
      </c>
      <c r="B296" s="1">
        <v>15</v>
      </c>
      <c r="C296" s="1" t="s">
        <v>302</v>
      </c>
    </row>
    <row r="297" spans="1:3" x14ac:dyDescent="0.3">
      <c r="A297" s="1" t="s">
        <v>290</v>
      </c>
      <c r="B297" s="1">
        <v>16</v>
      </c>
      <c r="C297" s="1" t="s">
        <v>303</v>
      </c>
    </row>
    <row r="298" spans="1:3" x14ac:dyDescent="0.3">
      <c r="A298" s="1" t="s">
        <v>304</v>
      </c>
      <c r="B298" s="1">
        <v>1</v>
      </c>
      <c r="C298" s="1" t="s">
        <v>305</v>
      </c>
    </row>
    <row r="299" spans="1:3" x14ac:dyDescent="0.3">
      <c r="A299" s="1" t="s">
        <v>304</v>
      </c>
      <c r="B299" s="1">
        <v>2</v>
      </c>
      <c r="C299" s="1" t="s">
        <v>306</v>
      </c>
    </row>
    <row r="300" spans="1:3" x14ac:dyDescent="0.3">
      <c r="A300" s="1" t="s">
        <v>304</v>
      </c>
      <c r="B300" s="1">
        <v>3</v>
      </c>
      <c r="C300" s="1" t="s">
        <v>307</v>
      </c>
    </row>
    <row r="301" spans="1:3" x14ac:dyDescent="0.3">
      <c r="A301" s="1" t="s">
        <v>304</v>
      </c>
      <c r="B301" s="1">
        <v>4</v>
      </c>
      <c r="C301" s="1" t="s">
        <v>308</v>
      </c>
    </row>
    <row r="302" spans="1:3" x14ac:dyDescent="0.3">
      <c r="A302" s="1" t="s">
        <v>304</v>
      </c>
      <c r="B302" s="1">
        <v>5</v>
      </c>
      <c r="C302" s="1" t="s">
        <v>309</v>
      </c>
    </row>
    <row r="303" spans="1:3" x14ac:dyDescent="0.3">
      <c r="A303" s="1" t="s">
        <v>304</v>
      </c>
      <c r="B303" s="1">
        <v>6</v>
      </c>
      <c r="C303" s="1" t="s">
        <v>310</v>
      </c>
    </row>
    <row r="304" spans="1:3" x14ac:dyDescent="0.3">
      <c r="A304" s="1" t="s">
        <v>311</v>
      </c>
      <c r="B304" s="1">
        <v>1</v>
      </c>
      <c r="C304" s="1" t="s">
        <v>312</v>
      </c>
    </row>
    <row r="305" spans="1:3" x14ac:dyDescent="0.3">
      <c r="A305" s="1" t="s">
        <v>311</v>
      </c>
      <c r="B305" s="1">
        <v>2</v>
      </c>
      <c r="C305" s="1" t="s">
        <v>313</v>
      </c>
    </row>
    <row r="306" spans="1:3" x14ac:dyDescent="0.3">
      <c r="A306" s="1" t="s">
        <v>311</v>
      </c>
      <c r="B306" s="1">
        <v>3</v>
      </c>
      <c r="C306" s="1" t="s">
        <v>314</v>
      </c>
    </row>
    <row r="307" spans="1:3" x14ac:dyDescent="0.3">
      <c r="A307" s="1" t="s">
        <v>311</v>
      </c>
      <c r="B307" s="1">
        <v>4</v>
      </c>
      <c r="C307" s="1" t="s">
        <v>315</v>
      </c>
    </row>
    <row r="308" spans="1:3" x14ac:dyDescent="0.3">
      <c r="A308" s="1" t="s">
        <v>316</v>
      </c>
      <c r="B308" s="1">
        <v>1</v>
      </c>
      <c r="C308" s="1" t="s">
        <v>309</v>
      </c>
    </row>
    <row r="309" spans="1:3" x14ac:dyDescent="0.3">
      <c r="A309" s="1" t="s">
        <v>316</v>
      </c>
      <c r="B309" s="1">
        <v>2</v>
      </c>
      <c r="C309" s="1" t="s">
        <v>310</v>
      </c>
    </row>
    <row r="310" spans="1:3" x14ac:dyDescent="0.3">
      <c r="A310" s="1" t="s">
        <v>316</v>
      </c>
      <c r="B310" s="1">
        <v>3</v>
      </c>
      <c r="C310" s="1" t="s">
        <v>317</v>
      </c>
    </row>
    <row r="311" spans="1:3" x14ac:dyDescent="0.3">
      <c r="A311" s="1" t="s">
        <v>316</v>
      </c>
      <c r="B311" s="1">
        <v>4</v>
      </c>
      <c r="C311" s="1" t="s">
        <v>318</v>
      </c>
    </row>
    <row r="312" spans="1:3" x14ac:dyDescent="0.3">
      <c r="A312" s="1" t="s">
        <v>316</v>
      </c>
      <c r="B312" s="1">
        <v>5</v>
      </c>
      <c r="C312" s="1" t="s">
        <v>319</v>
      </c>
    </row>
    <row r="313" spans="1:3" x14ac:dyDescent="0.3">
      <c r="A313" s="1" t="s">
        <v>316</v>
      </c>
      <c r="B313" s="1">
        <v>6</v>
      </c>
      <c r="C313" s="1" t="s">
        <v>320</v>
      </c>
    </row>
    <row r="314" spans="1:3" x14ac:dyDescent="0.3">
      <c r="A314" s="1" t="s">
        <v>316</v>
      </c>
      <c r="B314" s="1">
        <v>7</v>
      </c>
      <c r="C314" s="1" t="s">
        <v>321</v>
      </c>
    </row>
    <row r="315" spans="1:3" x14ac:dyDescent="0.3">
      <c r="A315" s="1" t="s">
        <v>322</v>
      </c>
      <c r="B315" s="1">
        <v>1</v>
      </c>
      <c r="C315" s="1" t="s">
        <v>323</v>
      </c>
    </row>
    <row r="316" spans="1:3" x14ac:dyDescent="0.3">
      <c r="A316" s="1" t="s">
        <v>322</v>
      </c>
      <c r="B316" s="1">
        <v>2</v>
      </c>
      <c r="C316" s="1" t="s">
        <v>324</v>
      </c>
    </row>
    <row r="317" spans="1:3" x14ac:dyDescent="0.3">
      <c r="A317" s="1" t="s">
        <v>322</v>
      </c>
      <c r="B317" s="1">
        <v>3</v>
      </c>
      <c r="C317" s="1" t="s">
        <v>325</v>
      </c>
    </row>
    <row r="318" spans="1:3" x14ac:dyDescent="0.3">
      <c r="A318" s="1" t="s">
        <v>322</v>
      </c>
      <c r="B318" s="1">
        <v>4</v>
      </c>
      <c r="C318" s="1" t="s">
        <v>326</v>
      </c>
    </row>
    <row r="319" spans="1:3" x14ac:dyDescent="0.3">
      <c r="A319" s="1" t="s">
        <v>322</v>
      </c>
      <c r="B319" s="1">
        <v>5</v>
      </c>
      <c r="C319" s="1" t="s">
        <v>327</v>
      </c>
    </row>
    <row r="320" spans="1:3" x14ac:dyDescent="0.3">
      <c r="A320" s="1" t="s">
        <v>322</v>
      </c>
      <c r="B320" s="1">
        <v>6</v>
      </c>
      <c r="C320" s="1" t="s">
        <v>328</v>
      </c>
    </row>
    <row r="321" spans="1:3" x14ac:dyDescent="0.3">
      <c r="A321" s="1" t="s">
        <v>322</v>
      </c>
      <c r="B321" s="1">
        <v>7</v>
      </c>
      <c r="C321" s="1" t="s">
        <v>329</v>
      </c>
    </row>
    <row r="322" spans="1:3" x14ac:dyDescent="0.3">
      <c r="A322" s="1" t="s">
        <v>322</v>
      </c>
      <c r="B322" s="1">
        <v>8</v>
      </c>
      <c r="C322" s="1" t="s">
        <v>330</v>
      </c>
    </row>
    <row r="323" spans="1:3" x14ac:dyDescent="0.3">
      <c r="A323" s="1" t="s">
        <v>331</v>
      </c>
      <c r="B323" s="1">
        <v>1</v>
      </c>
      <c r="C323" s="1" t="s">
        <v>332</v>
      </c>
    </row>
    <row r="324" spans="1:3" x14ac:dyDescent="0.3">
      <c r="A324" s="1" t="s">
        <v>331</v>
      </c>
      <c r="B324" s="1">
        <v>2</v>
      </c>
      <c r="C324" s="1" t="s">
        <v>333</v>
      </c>
    </row>
    <row r="325" spans="1:3" x14ac:dyDescent="0.3">
      <c r="A325" s="1" t="s">
        <v>331</v>
      </c>
      <c r="B325" s="1">
        <v>3</v>
      </c>
      <c r="C325" s="1" t="s">
        <v>334</v>
      </c>
    </row>
    <row r="326" spans="1:3" x14ac:dyDescent="0.3">
      <c r="A326" s="1" t="s">
        <v>331</v>
      </c>
      <c r="B326" s="1">
        <v>4</v>
      </c>
      <c r="C326" s="1" t="s">
        <v>335</v>
      </c>
    </row>
    <row r="327" spans="1:3" x14ac:dyDescent="0.3">
      <c r="A327" s="1" t="s">
        <v>336</v>
      </c>
      <c r="B327" s="1">
        <v>1</v>
      </c>
      <c r="C327" s="1" t="s">
        <v>337</v>
      </c>
    </row>
    <row r="328" spans="1:3" x14ac:dyDescent="0.3">
      <c r="A328" s="1" t="s">
        <v>336</v>
      </c>
      <c r="B328" s="1">
        <v>2</v>
      </c>
      <c r="C328" s="1" t="s">
        <v>338</v>
      </c>
    </row>
    <row r="329" spans="1:3" x14ac:dyDescent="0.3">
      <c r="A329" s="1" t="s">
        <v>336</v>
      </c>
      <c r="B329" s="1">
        <v>3</v>
      </c>
      <c r="C329" s="1" t="s">
        <v>237</v>
      </c>
    </row>
    <row r="330" spans="1:3" x14ac:dyDescent="0.3">
      <c r="A330" s="1" t="s">
        <v>339</v>
      </c>
      <c r="B330" s="1">
        <v>1</v>
      </c>
      <c r="C330" s="1" t="s">
        <v>340</v>
      </c>
    </row>
    <row r="331" spans="1:3" x14ac:dyDescent="0.3">
      <c r="A331" s="1" t="s">
        <v>339</v>
      </c>
      <c r="B331" s="1">
        <v>2</v>
      </c>
      <c r="C331" s="1" t="s">
        <v>341</v>
      </c>
    </row>
    <row r="332" spans="1:3" x14ac:dyDescent="0.3">
      <c r="A332" s="1" t="s">
        <v>339</v>
      </c>
      <c r="B332" s="1">
        <v>3</v>
      </c>
      <c r="C332" s="1" t="s">
        <v>342</v>
      </c>
    </row>
    <row r="333" spans="1:3" x14ac:dyDescent="0.3">
      <c r="A333" s="1" t="s">
        <v>339</v>
      </c>
      <c r="B333" s="1">
        <v>4</v>
      </c>
      <c r="C333" s="1" t="s">
        <v>343</v>
      </c>
    </row>
    <row r="334" spans="1:3" x14ac:dyDescent="0.3">
      <c r="A334" s="1" t="s">
        <v>339</v>
      </c>
      <c r="B334" s="1">
        <v>5</v>
      </c>
      <c r="C334" s="1" t="s">
        <v>315</v>
      </c>
    </row>
    <row r="335" spans="1:3" x14ac:dyDescent="0.3">
      <c r="A335" s="1" t="s">
        <v>344</v>
      </c>
      <c r="B335" s="1">
        <v>1</v>
      </c>
      <c r="C335" s="1" t="s">
        <v>345</v>
      </c>
    </row>
    <row r="336" spans="1:3" x14ac:dyDescent="0.3">
      <c r="A336" s="1" t="s">
        <v>344</v>
      </c>
      <c r="B336" s="1">
        <v>2</v>
      </c>
      <c r="C336" s="1" t="s">
        <v>346</v>
      </c>
    </row>
    <row r="337" spans="1:3" x14ac:dyDescent="0.3">
      <c r="A337" s="1" t="s">
        <v>344</v>
      </c>
      <c r="B337" s="1">
        <v>3</v>
      </c>
      <c r="C337" s="1" t="s">
        <v>347</v>
      </c>
    </row>
    <row r="338" spans="1:3" x14ac:dyDescent="0.3">
      <c r="A338" s="1" t="s">
        <v>344</v>
      </c>
      <c r="B338" s="1">
        <v>4</v>
      </c>
      <c r="C338" s="1" t="s">
        <v>348</v>
      </c>
    </row>
    <row r="339" spans="1:3" x14ac:dyDescent="0.3">
      <c r="A339" s="1" t="s">
        <v>344</v>
      </c>
      <c r="B339" s="1">
        <v>5</v>
      </c>
      <c r="C339" s="1" t="s">
        <v>349</v>
      </c>
    </row>
    <row r="340" spans="1:3" x14ac:dyDescent="0.3">
      <c r="A340" s="1" t="s">
        <v>344</v>
      </c>
      <c r="B340" s="1">
        <v>6</v>
      </c>
      <c r="C340" s="1" t="s">
        <v>350</v>
      </c>
    </row>
    <row r="341" spans="1:3" x14ac:dyDescent="0.3">
      <c r="A341" s="1" t="s">
        <v>344</v>
      </c>
      <c r="B341" s="1">
        <v>7</v>
      </c>
      <c r="C341" s="1" t="s">
        <v>351</v>
      </c>
    </row>
    <row r="342" spans="1:3" x14ac:dyDescent="0.3">
      <c r="A342" s="1" t="s">
        <v>344</v>
      </c>
      <c r="B342" s="1">
        <v>8</v>
      </c>
      <c r="C342" s="1" t="s">
        <v>352</v>
      </c>
    </row>
    <row r="343" spans="1:3" x14ac:dyDescent="0.3">
      <c r="A343" s="1" t="s">
        <v>353</v>
      </c>
      <c r="B343" s="1">
        <v>1</v>
      </c>
      <c r="C343" s="1" t="s">
        <v>354</v>
      </c>
    </row>
    <row r="344" spans="1:3" x14ac:dyDescent="0.3">
      <c r="A344" s="1" t="s">
        <v>353</v>
      </c>
      <c r="B344" s="1">
        <v>2</v>
      </c>
      <c r="C344" s="1" t="s">
        <v>355</v>
      </c>
    </row>
    <row r="345" spans="1:3" x14ac:dyDescent="0.3">
      <c r="A345" s="1" t="s">
        <v>353</v>
      </c>
      <c r="B345" s="1">
        <v>3</v>
      </c>
      <c r="C345" s="1" t="s">
        <v>356</v>
      </c>
    </row>
    <row r="346" spans="1:3" x14ac:dyDescent="0.3">
      <c r="A346" s="1" t="s">
        <v>353</v>
      </c>
      <c r="B346" s="1">
        <v>4</v>
      </c>
      <c r="C346" s="1" t="s">
        <v>357</v>
      </c>
    </row>
    <row r="347" spans="1:3" x14ac:dyDescent="0.3">
      <c r="A347" s="1" t="s">
        <v>353</v>
      </c>
      <c r="B347" s="1">
        <v>5</v>
      </c>
      <c r="C347" s="1" t="s">
        <v>358</v>
      </c>
    </row>
    <row r="348" spans="1:3" x14ac:dyDescent="0.3">
      <c r="A348" s="1" t="s">
        <v>353</v>
      </c>
      <c r="B348" s="1">
        <v>6</v>
      </c>
      <c r="C348" s="1" t="s">
        <v>359</v>
      </c>
    </row>
    <row r="349" spans="1:3" x14ac:dyDescent="0.3">
      <c r="A349" s="1" t="s">
        <v>353</v>
      </c>
      <c r="B349" s="1">
        <v>7</v>
      </c>
      <c r="C349" s="1" t="s">
        <v>360</v>
      </c>
    </row>
    <row r="350" spans="1:3" x14ac:dyDescent="0.3">
      <c r="A350" s="1" t="s">
        <v>353</v>
      </c>
      <c r="B350" s="1">
        <v>8</v>
      </c>
      <c r="C350" s="1" t="s">
        <v>361</v>
      </c>
    </row>
    <row r="351" spans="1:3" x14ac:dyDescent="0.3">
      <c r="A351" s="1" t="s">
        <v>353</v>
      </c>
      <c r="B351" s="1">
        <v>9</v>
      </c>
      <c r="C351" s="1" t="s">
        <v>362</v>
      </c>
    </row>
    <row r="352" spans="1:3" x14ac:dyDescent="0.3">
      <c r="A352" s="1" t="s">
        <v>353</v>
      </c>
      <c r="B352" s="1">
        <v>10</v>
      </c>
      <c r="C352" s="1" t="s">
        <v>363</v>
      </c>
    </row>
    <row r="353" spans="1:3" x14ac:dyDescent="0.3">
      <c r="A353" s="1" t="s">
        <v>353</v>
      </c>
      <c r="B353" s="1">
        <v>11</v>
      </c>
      <c r="C353" s="1" t="s">
        <v>364</v>
      </c>
    </row>
    <row r="354" spans="1:3" x14ac:dyDescent="0.3">
      <c r="A354" s="1" t="s">
        <v>353</v>
      </c>
      <c r="B354" s="1">
        <v>12</v>
      </c>
      <c r="C354" s="1" t="s">
        <v>365</v>
      </c>
    </row>
    <row r="355" spans="1:3" x14ac:dyDescent="0.3">
      <c r="A355" s="1" t="s">
        <v>353</v>
      </c>
      <c r="B355" s="1">
        <v>13</v>
      </c>
      <c r="C355" s="1" t="s">
        <v>366</v>
      </c>
    </row>
    <row r="356" spans="1:3" x14ac:dyDescent="0.3">
      <c r="A356" s="1" t="s">
        <v>353</v>
      </c>
      <c r="B356" s="1">
        <v>14</v>
      </c>
      <c r="C356" s="1" t="s">
        <v>367</v>
      </c>
    </row>
    <row r="357" spans="1:3" x14ac:dyDescent="0.3">
      <c r="A357" s="1" t="s">
        <v>353</v>
      </c>
      <c r="B357" s="1">
        <v>15</v>
      </c>
      <c r="C357" s="1" t="s">
        <v>368</v>
      </c>
    </row>
    <row r="358" spans="1:3" x14ac:dyDescent="0.3">
      <c r="A358" s="1" t="s">
        <v>353</v>
      </c>
      <c r="B358" s="1">
        <v>16</v>
      </c>
      <c r="C358" s="1" t="s">
        <v>369</v>
      </c>
    </row>
    <row r="359" spans="1:3" x14ac:dyDescent="0.3">
      <c r="A359" s="1" t="s">
        <v>370</v>
      </c>
      <c r="B359" s="1">
        <v>1</v>
      </c>
      <c r="C359" s="1" t="s">
        <v>371</v>
      </c>
    </row>
    <row r="360" spans="1:3" x14ac:dyDescent="0.3">
      <c r="A360" s="1" t="s">
        <v>370</v>
      </c>
      <c r="B360" s="1">
        <v>2</v>
      </c>
      <c r="C360" s="1" t="s">
        <v>372</v>
      </c>
    </row>
    <row r="361" spans="1:3" x14ac:dyDescent="0.3">
      <c r="A361" s="1" t="s">
        <v>370</v>
      </c>
      <c r="B361" s="1">
        <v>3</v>
      </c>
      <c r="C361" s="1" t="s">
        <v>373</v>
      </c>
    </row>
    <row r="362" spans="1:3" x14ac:dyDescent="0.3">
      <c r="A362" s="1" t="s">
        <v>370</v>
      </c>
      <c r="B362" s="1">
        <v>4</v>
      </c>
      <c r="C362" s="1" t="s">
        <v>374</v>
      </c>
    </row>
    <row r="363" spans="1:3" x14ac:dyDescent="0.3">
      <c r="A363" s="1" t="s">
        <v>370</v>
      </c>
      <c r="B363" s="1">
        <v>5</v>
      </c>
      <c r="C363" s="1" t="s">
        <v>375</v>
      </c>
    </row>
    <row r="364" spans="1:3" x14ac:dyDescent="0.3">
      <c r="A364" s="1" t="s">
        <v>376</v>
      </c>
      <c r="B364" s="1">
        <v>1</v>
      </c>
      <c r="C364" s="1" t="s">
        <v>377</v>
      </c>
    </row>
    <row r="365" spans="1:3" x14ac:dyDescent="0.3">
      <c r="A365" s="1" t="s">
        <v>376</v>
      </c>
      <c r="B365" s="1">
        <v>2</v>
      </c>
      <c r="C365" s="1" t="s">
        <v>378</v>
      </c>
    </row>
    <row r="366" spans="1:3" x14ac:dyDescent="0.3">
      <c r="A366" s="1" t="s">
        <v>376</v>
      </c>
      <c r="B366" s="1">
        <v>3</v>
      </c>
      <c r="C366" s="1" t="s">
        <v>379</v>
      </c>
    </row>
    <row r="367" spans="1:3" x14ac:dyDescent="0.3">
      <c r="A367" s="1" t="s">
        <v>376</v>
      </c>
      <c r="B367" s="1">
        <v>4</v>
      </c>
      <c r="C367" s="1" t="s">
        <v>380</v>
      </c>
    </row>
    <row r="368" spans="1:3" x14ac:dyDescent="0.3">
      <c r="A368" s="1" t="s">
        <v>376</v>
      </c>
      <c r="B368" s="1">
        <v>5</v>
      </c>
      <c r="C368" s="1" t="s">
        <v>381</v>
      </c>
    </row>
    <row r="369" spans="1:3" x14ac:dyDescent="0.3">
      <c r="A369" s="1" t="s">
        <v>376</v>
      </c>
      <c r="B369" s="1">
        <v>6</v>
      </c>
      <c r="C369" s="1" t="s">
        <v>382</v>
      </c>
    </row>
    <row r="370" spans="1:3" x14ac:dyDescent="0.3">
      <c r="A370" s="1" t="s">
        <v>376</v>
      </c>
      <c r="B370" s="1">
        <v>7</v>
      </c>
      <c r="C370" s="1" t="s">
        <v>383</v>
      </c>
    </row>
    <row r="371" spans="1:3" x14ac:dyDescent="0.3">
      <c r="A371" s="1" t="s">
        <v>376</v>
      </c>
      <c r="B371" s="1">
        <v>8</v>
      </c>
      <c r="C371" s="1" t="s">
        <v>384</v>
      </c>
    </row>
    <row r="372" spans="1:3" x14ac:dyDescent="0.3">
      <c r="A372" s="1" t="s">
        <v>376</v>
      </c>
      <c r="B372" s="1">
        <v>9</v>
      </c>
      <c r="C372" s="1" t="s">
        <v>385</v>
      </c>
    </row>
    <row r="373" spans="1:3" x14ac:dyDescent="0.3">
      <c r="A373" s="1" t="s">
        <v>376</v>
      </c>
      <c r="B373" s="1">
        <v>10</v>
      </c>
      <c r="C373" s="1" t="s">
        <v>386</v>
      </c>
    </row>
    <row r="374" spans="1:3" x14ac:dyDescent="0.3">
      <c r="A374" s="1" t="s">
        <v>376</v>
      </c>
      <c r="B374" s="1">
        <v>11</v>
      </c>
      <c r="C374" s="1" t="s">
        <v>387</v>
      </c>
    </row>
    <row r="375" spans="1:3" x14ac:dyDescent="0.3">
      <c r="A375" s="1" t="s">
        <v>376</v>
      </c>
      <c r="B375" s="1">
        <v>12</v>
      </c>
      <c r="C375" s="1" t="s">
        <v>388</v>
      </c>
    </row>
    <row r="376" spans="1:3" x14ac:dyDescent="0.3">
      <c r="A376" s="1" t="s">
        <v>376</v>
      </c>
      <c r="B376" s="1">
        <v>13</v>
      </c>
      <c r="C376" s="1" t="s">
        <v>389</v>
      </c>
    </row>
    <row r="377" spans="1:3" x14ac:dyDescent="0.3">
      <c r="A377" s="1" t="s">
        <v>376</v>
      </c>
      <c r="B377" s="1">
        <v>14</v>
      </c>
      <c r="C377" s="1" t="s">
        <v>390</v>
      </c>
    </row>
    <row r="378" spans="1:3" x14ac:dyDescent="0.3">
      <c r="A378" s="1" t="s">
        <v>376</v>
      </c>
      <c r="B378" s="1">
        <v>15</v>
      </c>
      <c r="C378" s="1" t="s">
        <v>391</v>
      </c>
    </row>
    <row r="379" spans="1:3" x14ac:dyDescent="0.3">
      <c r="A379" s="1" t="s">
        <v>376</v>
      </c>
      <c r="B379" s="1">
        <v>16</v>
      </c>
      <c r="C379" s="1" t="s">
        <v>392</v>
      </c>
    </row>
    <row r="380" spans="1:3" x14ac:dyDescent="0.3">
      <c r="A380" s="1" t="s">
        <v>376</v>
      </c>
      <c r="B380" s="1">
        <v>17</v>
      </c>
      <c r="C380" s="1" t="s">
        <v>393</v>
      </c>
    </row>
    <row r="381" spans="1:3" x14ac:dyDescent="0.3">
      <c r="A381" s="1" t="s">
        <v>376</v>
      </c>
      <c r="B381" s="1">
        <v>18</v>
      </c>
      <c r="C381" s="1" t="s">
        <v>394</v>
      </c>
    </row>
    <row r="382" spans="1:3" x14ac:dyDescent="0.3">
      <c r="A382" s="1" t="s">
        <v>376</v>
      </c>
      <c r="B382" s="1">
        <v>19</v>
      </c>
      <c r="C382" s="1" t="s">
        <v>395</v>
      </c>
    </row>
    <row r="383" spans="1:3" x14ac:dyDescent="0.3">
      <c r="A383" s="1" t="s">
        <v>376</v>
      </c>
      <c r="B383" s="1">
        <v>20</v>
      </c>
      <c r="C383" s="1" t="s">
        <v>396</v>
      </c>
    </row>
    <row r="384" spans="1:3" x14ac:dyDescent="0.3">
      <c r="A384" s="1" t="s">
        <v>376</v>
      </c>
      <c r="B384" s="1">
        <v>21</v>
      </c>
      <c r="C384" s="1" t="s">
        <v>397</v>
      </c>
    </row>
    <row r="385" spans="1:3" x14ac:dyDescent="0.3">
      <c r="A385" s="1" t="s">
        <v>376</v>
      </c>
      <c r="B385" s="1">
        <v>22</v>
      </c>
      <c r="C385" s="1" t="s">
        <v>398</v>
      </c>
    </row>
    <row r="386" spans="1:3" x14ac:dyDescent="0.3">
      <c r="A386" s="1" t="s">
        <v>376</v>
      </c>
      <c r="B386" s="1">
        <v>23</v>
      </c>
      <c r="C386" s="1" t="s">
        <v>399</v>
      </c>
    </row>
    <row r="387" spans="1:3" x14ac:dyDescent="0.3">
      <c r="A387" s="1" t="s">
        <v>376</v>
      </c>
      <c r="B387" s="1">
        <v>24</v>
      </c>
      <c r="C387" s="1" t="s">
        <v>400</v>
      </c>
    </row>
    <row r="388" spans="1:3" x14ac:dyDescent="0.3">
      <c r="A388" s="1" t="s">
        <v>376</v>
      </c>
      <c r="B388" s="1">
        <v>25</v>
      </c>
      <c r="C388" s="1" t="s">
        <v>401</v>
      </c>
    </row>
    <row r="389" spans="1:3" x14ac:dyDescent="0.3">
      <c r="A389" s="1" t="s">
        <v>376</v>
      </c>
      <c r="B389" s="1">
        <v>26</v>
      </c>
      <c r="C389" s="1" t="s">
        <v>402</v>
      </c>
    </row>
    <row r="390" spans="1:3" x14ac:dyDescent="0.3">
      <c r="A390" s="1" t="s">
        <v>376</v>
      </c>
      <c r="B390" s="1">
        <v>27</v>
      </c>
      <c r="C390" s="1" t="s">
        <v>403</v>
      </c>
    </row>
    <row r="391" spans="1:3" x14ac:dyDescent="0.3">
      <c r="A391" s="1" t="s">
        <v>376</v>
      </c>
      <c r="B391" s="1">
        <v>28</v>
      </c>
      <c r="C391" s="1" t="s">
        <v>404</v>
      </c>
    </row>
    <row r="392" spans="1:3" x14ac:dyDescent="0.3">
      <c r="A392" s="1" t="s">
        <v>376</v>
      </c>
      <c r="B392" s="1">
        <v>29</v>
      </c>
      <c r="C392" s="1" t="s">
        <v>405</v>
      </c>
    </row>
    <row r="393" spans="1:3" x14ac:dyDescent="0.3">
      <c r="A393" s="1" t="s">
        <v>376</v>
      </c>
      <c r="B393" s="1">
        <v>30</v>
      </c>
      <c r="C393" s="1" t="s">
        <v>406</v>
      </c>
    </row>
    <row r="394" spans="1:3" x14ac:dyDescent="0.3">
      <c r="A394" s="1" t="s">
        <v>376</v>
      </c>
      <c r="B394" s="1">
        <v>31</v>
      </c>
      <c r="C394" s="1" t="s">
        <v>407</v>
      </c>
    </row>
    <row r="395" spans="1:3" x14ac:dyDescent="0.3">
      <c r="A395" s="1" t="s">
        <v>376</v>
      </c>
      <c r="B395" s="1">
        <v>32</v>
      </c>
      <c r="C395" s="1" t="s">
        <v>408</v>
      </c>
    </row>
    <row r="396" spans="1:3" x14ac:dyDescent="0.3">
      <c r="A396" s="1" t="s">
        <v>376</v>
      </c>
      <c r="B396" s="1">
        <v>33</v>
      </c>
      <c r="C396" s="1" t="s">
        <v>409</v>
      </c>
    </row>
    <row r="397" spans="1:3" x14ac:dyDescent="0.3">
      <c r="A397" s="1" t="s">
        <v>376</v>
      </c>
      <c r="B397" s="1">
        <v>34</v>
      </c>
      <c r="C397" s="1" t="s">
        <v>410</v>
      </c>
    </row>
    <row r="398" spans="1:3" x14ac:dyDescent="0.3">
      <c r="A398" s="1" t="s">
        <v>376</v>
      </c>
      <c r="B398" s="1">
        <v>35</v>
      </c>
      <c r="C398" s="1" t="s">
        <v>411</v>
      </c>
    </row>
    <row r="399" spans="1:3" x14ac:dyDescent="0.3">
      <c r="A399" s="1" t="s">
        <v>376</v>
      </c>
      <c r="B399" s="1">
        <v>36</v>
      </c>
      <c r="C399" s="1" t="s">
        <v>412</v>
      </c>
    </row>
    <row r="400" spans="1:3" x14ac:dyDescent="0.3">
      <c r="A400" s="1" t="s">
        <v>376</v>
      </c>
      <c r="B400" s="1">
        <v>37</v>
      </c>
      <c r="C400" s="1" t="s">
        <v>413</v>
      </c>
    </row>
    <row r="401" spans="1:3" x14ac:dyDescent="0.3">
      <c r="A401" s="1" t="s">
        <v>376</v>
      </c>
      <c r="B401" s="1">
        <v>38</v>
      </c>
      <c r="C401" s="1" t="s">
        <v>414</v>
      </c>
    </row>
    <row r="402" spans="1:3" x14ac:dyDescent="0.3">
      <c r="A402" s="1" t="s">
        <v>415</v>
      </c>
      <c r="B402" s="1">
        <v>1</v>
      </c>
      <c r="C402" s="1" t="s">
        <v>416</v>
      </c>
    </row>
    <row r="403" spans="1:3" x14ac:dyDescent="0.3">
      <c r="A403" s="1" t="s">
        <v>415</v>
      </c>
      <c r="B403" s="1">
        <v>2</v>
      </c>
      <c r="C403" s="1" t="s">
        <v>417</v>
      </c>
    </row>
    <row r="404" spans="1:3" x14ac:dyDescent="0.3">
      <c r="A404" s="1" t="s">
        <v>415</v>
      </c>
      <c r="B404" s="1">
        <v>3</v>
      </c>
      <c r="C404" s="1" t="s">
        <v>418</v>
      </c>
    </row>
    <row r="405" spans="1:3" x14ac:dyDescent="0.3">
      <c r="A405" s="1" t="s">
        <v>419</v>
      </c>
      <c r="B405" s="1">
        <v>1</v>
      </c>
      <c r="C405" s="1" t="s">
        <v>420</v>
      </c>
    </row>
    <row r="406" spans="1:3" x14ac:dyDescent="0.3">
      <c r="A406" s="1" t="s">
        <v>419</v>
      </c>
      <c r="B406" s="1">
        <v>2</v>
      </c>
      <c r="C406" s="1" t="s">
        <v>421</v>
      </c>
    </row>
    <row r="407" spans="1:3" x14ac:dyDescent="0.3">
      <c r="A407" s="1" t="s">
        <v>419</v>
      </c>
      <c r="B407" s="1">
        <v>3</v>
      </c>
      <c r="C407" s="1" t="s">
        <v>422</v>
      </c>
    </row>
    <row r="408" spans="1:3" x14ac:dyDescent="0.3">
      <c r="A408" s="1" t="s">
        <v>419</v>
      </c>
      <c r="B408" s="1">
        <v>4</v>
      </c>
      <c r="C408" s="1" t="s">
        <v>423</v>
      </c>
    </row>
    <row r="409" spans="1:3" x14ac:dyDescent="0.3">
      <c r="A409" s="1" t="s">
        <v>419</v>
      </c>
      <c r="B409" s="1">
        <v>5</v>
      </c>
      <c r="C409" s="1" t="s">
        <v>424</v>
      </c>
    </row>
    <row r="410" spans="1:3" x14ac:dyDescent="0.3">
      <c r="A410" s="1" t="s">
        <v>419</v>
      </c>
      <c r="B410" s="1">
        <v>6</v>
      </c>
      <c r="C410" s="1" t="s">
        <v>425</v>
      </c>
    </row>
    <row r="411" spans="1:3" x14ac:dyDescent="0.3">
      <c r="A411" s="1" t="s">
        <v>419</v>
      </c>
      <c r="B411" s="1">
        <v>7</v>
      </c>
      <c r="C411" s="1" t="s">
        <v>426</v>
      </c>
    </row>
    <row r="412" spans="1:3" x14ac:dyDescent="0.3">
      <c r="A412" s="1" t="s">
        <v>419</v>
      </c>
      <c r="B412" s="1">
        <v>8</v>
      </c>
      <c r="C412" s="1" t="s">
        <v>427</v>
      </c>
    </row>
    <row r="413" spans="1:3" x14ac:dyDescent="0.3">
      <c r="A413" s="1" t="s">
        <v>419</v>
      </c>
      <c r="B413" s="1">
        <v>9</v>
      </c>
      <c r="C413" s="1" t="s">
        <v>428</v>
      </c>
    </row>
    <row r="414" spans="1:3" x14ac:dyDescent="0.3">
      <c r="A414" s="1" t="s">
        <v>419</v>
      </c>
      <c r="B414" s="1">
        <v>10</v>
      </c>
      <c r="C414" s="1" t="s">
        <v>429</v>
      </c>
    </row>
    <row r="415" spans="1:3" x14ac:dyDescent="0.3">
      <c r="A415" s="1" t="s">
        <v>419</v>
      </c>
      <c r="B415" s="1">
        <v>11</v>
      </c>
      <c r="C415" s="1" t="s">
        <v>430</v>
      </c>
    </row>
    <row r="416" spans="1:3" x14ac:dyDescent="0.3">
      <c r="A416" s="1" t="s">
        <v>419</v>
      </c>
      <c r="B416" s="1">
        <v>12</v>
      </c>
      <c r="C416" s="1" t="s">
        <v>431</v>
      </c>
    </row>
    <row r="417" spans="1:3" x14ac:dyDescent="0.3">
      <c r="A417" s="1" t="s">
        <v>419</v>
      </c>
      <c r="B417" s="1">
        <v>13</v>
      </c>
      <c r="C417" s="1" t="s">
        <v>432</v>
      </c>
    </row>
    <row r="418" spans="1:3" x14ac:dyDescent="0.3">
      <c r="A418" s="1" t="s">
        <v>419</v>
      </c>
      <c r="B418" s="1">
        <v>14</v>
      </c>
      <c r="C418" s="1" t="s">
        <v>433</v>
      </c>
    </row>
    <row r="419" spans="1:3" x14ac:dyDescent="0.3">
      <c r="A419" s="1" t="s">
        <v>419</v>
      </c>
      <c r="B419" s="1">
        <v>15</v>
      </c>
      <c r="C419" s="1" t="s">
        <v>434</v>
      </c>
    </row>
    <row r="420" spans="1:3" x14ac:dyDescent="0.3">
      <c r="A420" s="1" t="s">
        <v>419</v>
      </c>
      <c r="B420" s="1">
        <v>16</v>
      </c>
      <c r="C420" s="1" t="s">
        <v>435</v>
      </c>
    </row>
    <row r="421" spans="1:3" x14ac:dyDescent="0.3">
      <c r="A421" s="1" t="s">
        <v>419</v>
      </c>
      <c r="B421" s="1">
        <v>17</v>
      </c>
      <c r="C421" s="1" t="s">
        <v>436</v>
      </c>
    </row>
    <row r="422" spans="1:3" x14ac:dyDescent="0.3">
      <c r="A422" s="1" t="s">
        <v>419</v>
      </c>
      <c r="B422" s="1">
        <v>18</v>
      </c>
      <c r="C422" s="1" t="s">
        <v>437</v>
      </c>
    </row>
    <row r="423" spans="1:3" x14ac:dyDescent="0.3">
      <c r="A423" s="1" t="s">
        <v>419</v>
      </c>
      <c r="B423" s="1">
        <v>19</v>
      </c>
      <c r="C423" s="1" t="s">
        <v>438</v>
      </c>
    </row>
    <row r="424" spans="1:3" x14ac:dyDescent="0.3">
      <c r="A424" s="1" t="s">
        <v>419</v>
      </c>
      <c r="B424" s="1">
        <v>20</v>
      </c>
      <c r="C424" s="1" t="s">
        <v>439</v>
      </c>
    </row>
    <row r="425" spans="1:3" x14ac:dyDescent="0.3">
      <c r="A425" s="1" t="s">
        <v>419</v>
      </c>
      <c r="B425" s="1">
        <v>21</v>
      </c>
      <c r="C425" s="1" t="s">
        <v>440</v>
      </c>
    </row>
    <row r="426" spans="1:3" x14ac:dyDescent="0.3">
      <c r="A426" s="1" t="s">
        <v>419</v>
      </c>
      <c r="B426" s="1">
        <v>22</v>
      </c>
      <c r="C426" s="1" t="s">
        <v>441</v>
      </c>
    </row>
    <row r="427" spans="1:3" x14ac:dyDescent="0.3">
      <c r="A427" s="1" t="s">
        <v>419</v>
      </c>
      <c r="B427" s="1">
        <v>23</v>
      </c>
      <c r="C427" s="1" t="s">
        <v>442</v>
      </c>
    </row>
    <row r="428" spans="1:3" x14ac:dyDescent="0.3">
      <c r="A428" s="1" t="s">
        <v>443</v>
      </c>
      <c r="B428" s="1">
        <v>1</v>
      </c>
      <c r="C428" s="1" t="s">
        <v>444</v>
      </c>
    </row>
    <row r="429" spans="1:3" x14ac:dyDescent="0.3">
      <c r="A429" s="1" t="s">
        <v>443</v>
      </c>
      <c r="B429" s="1">
        <v>2</v>
      </c>
      <c r="C429" s="1" t="s">
        <v>445</v>
      </c>
    </row>
    <row r="430" spans="1:3" x14ac:dyDescent="0.3">
      <c r="A430" s="1" t="s">
        <v>443</v>
      </c>
      <c r="B430" s="1">
        <v>3</v>
      </c>
      <c r="C430" s="1" t="s">
        <v>446</v>
      </c>
    </row>
    <row r="431" spans="1:3" x14ac:dyDescent="0.3">
      <c r="A431" s="1" t="s">
        <v>443</v>
      </c>
      <c r="B431" s="1">
        <v>4</v>
      </c>
      <c r="C431" s="1" t="s">
        <v>447</v>
      </c>
    </row>
    <row r="432" spans="1:3" x14ac:dyDescent="0.3">
      <c r="A432" s="1" t="s">
        <v>448</v>
      </c>
      <c r="B432" s="1">
        <v>1</v>
      </c>
      <c r="C432" s="1" t="s">
        <v>449</v>
      </c>
    </row>
    <row r="433" spans="1:3" x14ac:dyDescent="0.3">
      <c r="A433" s="1" t="s">
        <v>448</v>
      </c>
      <c r="B433" s="1">
        <v>2</v>
      </c>
      <c r="C433" s="1" t="s">
        <v>450</v>
      </c>
    </row>
    <row r="434" spans="1:3" x14ac:dyDescent="0.3">
      <c r="A434" s="1" t="s">
        <v>448</v>
      </c>
      <c r="B434" s="1">
        <v>3</v>
      </c>
      <c r="C434" s="1" t="s">
        <v>451</v>
      </c>
    </row>
    <row r="435" spans="1:3" x14ac:dyDescent="0.3">
      <c r="A435" s="1" t="s">
        <v>448</v>
      </c>
      <c r="B435" s="1">
        <v>4</v>
      </c>
      <c r="C435" s="1" t="s">
        <v>452</v>
      </c>
    </row>
    <row r="436" spans="1:3" x14ac:dyDescent="0.3">
      <c r="A436" s="1" t="s">
        <v>453</v>
      </c>
      <c r="B436" s="1">
        <v>1</v>
      </c>
      <c r="C436" s="1" t="s">
        <v>454</v>
      </c>
    </row>
    <row r="437" spans="1:3" x14ac:dyDescent="0.3">
      <c r="A437" s="1" t="s">
        <v>453</v>
      </c>
      <c r="B437" s="1">
        <v>2</v>
      </c>
      <c r="C437" s="1" t="s">
        <v>455</v>
      </c>
    </row>
    <row r="438" spans="1:3" x14ac:dyDescent="0.3">
      <c r="A438" s="1" t="s">
        <v>453</v>
      </c>
      <c r="B438" s="1">
        <v>3</v>
      </c>
      <c r="C438" s="1" t="s">
        <v>456</v>
      </c>
    </row>
    <row r="439" spans="1:3" x14ac:dyDescent="0.3">
      <c r="A439" s="1" t="s">
        <v>453</v>
      </c>
      <c r="B439" s="1">
        <v>4</v>
      </c>
      <c r="C439" s="1" t="s">
        <v>457</v>
      </c>
    </row>
    <row r="440" spans="1:3" x14ac:dyDescent="0.3">
      <c r="A440" s="1" t="s">
        <v>453</v>
      </c>
      <c r="B440" s="1">
        <v>5</v>
      </c>
      <c r="C440" s="1" t="s">
        <v>458</v>
      </c>
    </row>
    <row r="441" spans="1:3" x14ac:dyDescent="0.3">
      <c r="A441" s="1" t="s">
        <v>453</v>
      </c>
      <c r="B441" s="1">
        <v>6</v>
      </c>
      <c r="C441" s="1" t="s">
        <v>459</v>
      </c>
    </row>
    <row r="442" spans="1:3" x14ac:dyDescent="0.3">
      <c r="A442" s="1" t="s">
        <v>460</v>
      </c>
      <c r="B442" s="1">
        <v>1</v>
      </c>
      <c r="C442" s="1" t="s">
        <v>461</v>
      </c>
    </row>
    <row r="443" spans="1:3" x14ac:dyDescent="0.3">
      <c r="A443" s="1" t="s">
        <v>460</v>
      </c>
      <c r="B443" s="1">
        <v>2</v>
      </c>
      <c r="C443" s="1" t="s">
        <v>462</v>
      </c>
    </row>
    <row r="444" spans="1:3" x14ac:dyDescent="0.3">
      <c r="A444" s="1" t="s">
        <v>460</v>
      </c>
      <c r="B444" s="1">
        <v>3</v>
      </c>
      <c r="C444" s="1" t="s">
        <v>463</v>
      </c>
    </row>
    <row r="445" spans="1:3" x14ac:dyDescent="0.3">
      <c r="A445" s="1" t="s">
        <v>464</v>
      </c>
      <c r="B445" s="1">
        <v>1</v>
      </c>
      <c r="C445" s="1" t="s">
        <v>465</v>
      </c>
    </row>
    <row r="446" spans="1:3" x14ac:dyDescent="0.3">
      <c r="A446" s="1" t="s">
        <v>464</v>
      </c>
      <c r="B446" s="1">
        <v>2</v>
      </c>
      <c r="C446" s="1" t="s">
        <v>466</v>
      </c>
    </row>
    <row r="447" spans="1:3" x14ac:dyDescent="0.3">
      <c r="A447" s="1" t="s">
        <v>464</v>
      </c>
      <c r="B447" s="1">
        <v>3</v>
      </c>
      <c r="C447" s="1" t="s">
        <v>467</v>
      </c>
    </row>
    <row r="448" spans="1:3" x14ac:dyDescent="0.3">
      <c r="A448" s="1" t="s">
        <v>464</v>
      </c>
      <c r="B448" s="1">
        <v>4</v>
      </c>
      <c r="C448" s="1" t="s">
        <v>468</v>
      </c>
    </row>
    <row r="449" spans="1:3" x14ac:dyDescent="0.3">
      <c r="A449" s="1" t="s">
        <v>464</v>
      </c>
      <c r="B449" s="1">
        <v>5</v>
      </c>
      <c r="C449" s="1" t="s">
        <v>469</v>
      </c>
    </row>
    <row r="450" spans="1:3" x14ac:dyDescent="0.3">
      <c r="A450" s="1" t="s">
        <v>464</v>
      </c>
      <c r="B450" s="1">
        <v>6</v>
      </c>
      <c r="C450" s="1" t="s">
        <v>470</v>
      </c>
    </row>
    <row r="451" spans="1:3" x14ac:dyDescent="0.3">
      <c r="A451" s="1" t="s">
        <v>464</v>
      </c>
      <c r="B451" s="1">
        <v>7</v>
      </c>
      <c r="C451" s="1" t="s">
        <v>471</v>
      </c>
    </row>
    <row r="452" spans="1:3" x14ac:dyDescent="0.3">
      <c r="A452" s="1" t="s">
        <v>464</v>
      </c>
      <c r="B452" s="1">
        <v>8</v>
      </c>
      <c r="C452" s="1" t="s">
        <v>472</v>
      </c>
    </row>
    <row r="453" spans="1:3" x14ac:dyDescent="0.3">
      <c r="A453" s="1" t="s">
        <v>464</v>
      </c>
      <c r="B453" s="1">
        <v>9</v>
      </c>
      <c r="C453" s="1" t="s">
        <v>473</v>
      </c>
    </row>
    <row r="454" spans="1:3" x14ac:dyDescent="0.3">
      <c r="A454" s="1" t="s">
        <v>464</v>
      </c>
      <c r="B454" s="1">
        <v>10</v>
      </c>
      <c r="C454" s="1" t="s">
        <v>474</v>
      </c>
    </row>
    <row r="455" spans="1:3" x14ac:dyDescent="0.3">
      <c r="A455" s="1" t="s">
        <v>464</v>
      </c>
      <c r="B455" s="1">
        <v>11</v>
      </c>
      <c r="C455" s="1" t="s">
        <v>475</v>
      </c>
    </row>
    <row r="456" spans="1:3" x14ac:dyDescent="0.3">
      <c r="A456" s="1" t="s">
        <v>476</v>
      </c>
      <c r="B456" s="1">
        <v>1</v>
      </c>
      <c r="C456" s="1" t="s">
        <v>477</v>
      </c>
    </row>
    <row r="457" spans="1:3" x14ac:dyDescent="0.3">
      <c r="A457" s="1" t="s">
        <v>476</v>
      </c>
      <c r="B457" s="1">
        <v>2</v>
      </c>
      <c r="C457" s="1" t="s">
        <v>478</v>
      </c>
    </row>
    <row r="458" spans="1:3" x14ac:dyDescent="0.3">
      <c r="A458" s="1" t="s">
        <v>476</v>
      </c>
      <c r="B458" s="1">
        <v>3</v>
      </c>
      <c r="C458" s="1" t="s">
        <v>479</v>
      </c>
    </row>
    <row r="459" spans="1:3" x14ac:dyDescent="0.3">
      <c r="A459" s="1" t="s">
        <v>480</v>
      </c>
      <c r="B459" s="1">
        <v>1</v>
      </c>
      <c r="C459" s="1" t="s">
        <v>481</v>
      </c>
    </row>
    <row r="460" spans="1:3" x14ac:dyDescent="0.3">
      <c r="A460" s="1" t="s">
        <v>480</v>
      </c>
      <c r="B460" s="1">
        <v>2</v>
      </c>
      <c r="C460" s="1" t="s">
        <v>482</v>
      </c>
    </row>
    <row r="461" spans="1:3" x14ac:dyDescent="0.3">
      <c r="A461" s="1" t="s">
        <v>480</v>
      </c>
      <c r="B461" s="1">
        <v>3</v>
      </c>
      <c r="C461" s="1" t="s">
        <v>483</v>
      </c>
    </row>
    <row r="462" spans="1:3" x14ac:dyDescent="0.3">
      <c r="A462" s="1" t="s">
        <v>484</v>
      </c>
      <c r="B462" s="1">
        <v>1</v>
      </c>
      <c r="C462" s="1" t="s">
        <v>420</v>
      </c>
    </row>
    <row r="463" spans="1:3" x14ac:dyDescent="0.3">
      <c r="A463" s="1" t="s">
        <v>484</v>
      </c>
      <c r="B463" s="1">
        <v>2</v>
      </c>
      <c r="C463" s="1" t="s">
        <v>421</v>
      </c>
    </row>
    <row r="464" spans="1:3" x14ac:dyDescent="0.3">
      <c r="A464" s="1" t="s">
        <v>484</v>
      </c>
      <c r="B464" s="1">
        <v>3</v>
      </c>
      <c r="C464" s="1" t="s">
        <v>422</v>
      </c>
    </row>
    <row r="465" spans="1:3" x14ac:dyDescent="0.3">
      <c r="A465" s="1" t="s">
        <v>484</v>
      </c>
      <c r="B465" s="1">
        <v>4</v>
      </c>
      <c r="C465" s="1" t="s">
        <v>423</v>
      </c>
    </row>
    <row r="466" spans="1:3" x14ac:dyDescent="0.3">
      <c r="A466" s="1" t="s">
        <v>484</v>
      </c>
      <c r="B466" s="1">
        <v>5</v>
      </c>
      <c r="C466" s="1" t="s">
        <v>424</v>
      </c>
    </row>
    <row r="467" spans="1:3" x14ac:dyDescent="0.3">
      <c r="A467" s="1" t="s">
        <v>484</v>
      </c>
      <c r="B467" s="1">
        <v>6</v>
      </c>
      <c r="C467" s="1" t="s">
        <v>425</v>
      </c>
    </row>
    <row r="468" spans="1:3" x14ac:dyDescent="0.3">
      <c r="A468" s="1" t="s">
        <v>484</v>
      </c>
      <c r="B468" s="1">
        <v>7</v>
      </c>
      <c r="C468" s="1" t="s">
        <v>426</v>
      </c>
    </row>
    <row r="469" spans="1:3" x14ac:dyDescent="0.3">
      <c r="A469" s="1" t="s">
        <v>484</v>
      </c>
      <c r="B469" s="1">
        <v>8</v>
      </c>
      <c r="C469" s="1" t="s">
        <v>427</v>
      </c>
    </row>
    <row r="470" spans="1:3" x14ac:dyDescent="0.3">
      <c r="A470" s="1" t="s">
        <v>484</v>
      </c>
      <c r="B470" s="1">
        <v>9</v>
      </c>
      <c r="C470" s="1" t="s">
        <v>428</v>
      </c>
    </row>
    <row r="471" spans="1:3" x14ac:dyDescent="0.3">
      <c r="A471" s="1" t="s">
        <v>484</v>
      </c>
      <c r="B471" s="1">
        <v>10</v>
      </c>
      <c r="C471" s="1" t="s">
        <v>429</v>
      </c>
    </row>
    <row r="472" spans="1:3" x14ac:dyDescent="0.3">
      <c r="A472" s="1" t="s">
        <v>484</v>
      </c>
      <c r="B472" s="1">
        <v>11</v>
      </c>
      <c r="C472" s="1" t="s">
        <v>430</v>
      </c>
    </row>
    <row r="473" spans="1:3" x14ac:dyDescent="0.3">
      <c r="A473" s="1" t="s">
        <v>484</v>
      </c>
      <c r="B473" s="1">
        <v>12</v>
      </c>
      <c r="C473" s="1" t="s">
        <v>431</v>
      </c>
    </row>
    <row r="474" spans="1:3" x14ac:dyDescent="0.3">
      <c r="A474" s="1" t="s">
        <v>484</v>
      </c>
      <c r="B474" s="1">
        <v>13</v>
      </c>
      <c r="C474" s="1" t="s">
        <v>432</v>
      </c>
    </row>
    <row r="475" spans="1:3" x14ac:dyDescent="0.3">
      <c r="A475" s="1" t="s">
        <v>484</v>
      </c>
      <c r="B475" s="1">
        <v>14</v>
      </c>
      <c r="C475" s="1" t="s">
        <v>433</v>
      </c>
    </row>
    <row r="476" spans="1:3" x14ac:dyDescent="0.3">
      <c r="A476" s="1" t="s">
        <v>484</v>
      </c>
      <c r="B476" s="1">
        <v>15</v>
      </c>
      <c r="C476" s="1" t="s">
        <v>434</v>
      </c>
    </row>
    <row r="477" spans="1:3" x14ac:dyDescent="0.3">
      <c r="A477" s="1" t="s">
        <v>484</v>
      </c>
      <c r="B477" s="1">
        <v>16</v>
      </c>
      <c r="C477" s="1" t="s">
        <v>435</v>
      </c>
    </row>
    <row r="478" spans="1:3" x14ac:dyDescent="0.3">
      <c r="A478" s="1" t="s">
        <v>484</v>
      </c>
      <c r="B478" s="1">
        <v>17</v>
      </c>
      <c r="C478" s="1" t="s">
        <v>436</v>
      </c>
    </row>
    <row r="479" spans="1:3" x14ac:dyDescent="0.3">
      <c r="A479" s="1" t="s">
        <v>484</v>
      </c>
      <c r="B479" s="1">
        <v>18</v>
      </c>
      <c r="C479" s="1" t="s">
        <v>437</v>
      </c>
    </row>
    <row r="480" spans="1:3" x14ac:dyDescent="0.3">
      <c r="A480" s="1" t="s">
        <v>484</v>
      </c>
      <c r="B480" s="1">
        <v>19</v>
      </c>
      <c r="C480" s="1" t="s">
        <v>438</v>
      </c>
    </row>
    <row r="481" spans="1:3" x14ac:dyDescent="0.3">
      <c r="A481" s="1" t="s">
        <v>484</v>
      </c>
      <c r="B481" s="1">
        <v>20</v>
      </c>
      <c r="C481" s="1" t="s">
        <v>485</v>
      </c>
    </row>
    <row r="482" spans="1:3" x14ac:dyDescent="0.3">
      <c r="A482" s="1" t="s">
        <v>484</v>
      </c>
      <c r="B482" s="1">
        <v>21</v>
      </c>
      <c r="C482" s="1" t="s">
        <v>486</v>
      </c>
    </row>
    <row r="483" spans="1:3" x14ac:dyDescent="0.3">
      <c r="A483" s="1" t="s">
        <v>484</v>
      </c>
      <c r="B483" s="1">
        <v>22</v>
      </c>
      <c r="C483" s="1" t="s">
        <v>487</v>
      </c>
    </row>
    <row r="484" spans="1:3" x14ac:dyDescent="0.3">
      <c r="A484" s="1" t="s">
        <v>484</v>
      </c>
      <c r="B484" s="1">
        <v>23</v>
      </c>
      <c r="C484" s="1" t="s">
        <v>488</v>
      </c>
    </row>
    <row r="485" spans="1:3" x14ac:dyDescent="0.3">
      <c r="A485" s="1" t="s">
        <v>484</v>
      </c>
      <c r="B485" s="1">
        <v>24</v>
      </c>
      <c r="C485" s="1" t="s">
        <v>489</v>
      </c>
    </row>
    <row r="486" spans="1:3" x14ac:dyDescent="0.3">
      <c r="A486" s="1" t="s">
        <v>484</v>
      </c>
      <c r="B486" s="1">
        <v>25</v>
      </c>
      <c r="C486" s="1" t="s">
        <v>490</v>
      </c>
    </row>
    <row r="487" spans="1:3" x14ac:dyDescent="0.3">
      <c r="A487" s="1" t="s">
        <v>484</v>
      </c>
      <c r="B487" s="1">
        <v>26</v>
      </c>
      <c r="C487" s="1" t="s">
        <v>491</v>
      </c>
    </row>
    <row r="488" spans="1:3" x14ac:dyDescent="0.3">
      <c r="A488" s="1" t="s">
        <v>484</v>
      </c>
      <c r="B488" s="1">
        <v>27</v>
      </c>
      <c r="C488" s="1" t="s">
        <v>492</v>
      </c>
    </row>
    <row r="489" spans="1:3" x14ac:dyDescent="0.3">
      <c r="A489" s="1" t="s">
        <v>484</v>
      </c>
      <c r="B489" s="1">
        <v>28</v>
      </c>
      <c r="C489" s="1" t="s">
        <v>493</v>
      </c>
    </row>
    <row r="490" spans="1:3" x14ac:dyDescent="0.3">
      <c r="A490" s="1" t="s">
        <v>484</v>
      </c>
      <c r="B490" s="1">
        <v>29</v>
      </c>
      <c r="C490" s="1" t="s">
        <v>494</v>
      </c>
    </row>
    <row r="491" spans="1:3" x14ac:dyDescent="0.3">
      <c r="A491" s="1" t="s">
        <v>484</v>
      </c>
      <c r="B491" s="1">
        <v>30</v>
      </c>
      <c r="C491" s="1" t="s">
        <v>495</v>
      </c>
    </row>
    <row r="492" spans="1:3" x14ac:dyDescent="0.3">
      <c r="A492" s="1" t="s">
        <v>484</v>
      </c>
      <c r="B492" s="1">
        <v>31</v>
      </c>
      <c r="C492" s="1" t="s">
        <v>496</v>
      </c>
    </row>
    <row r="493" spans="1:3" x14ac:dyDescent="0.3">
      <c r="A493" s="1" t="s">
        <v>484</v>
      </c>
      <c r="B493" s="1">
        <v>32</v>
      </c>
      <c r="C493" s="1" t="s">
        <v>497</v>
      </c>
    </row>
    <row r="494" spans="1:3" x14ac:dyDescent="0.3">
      <c r="A494" s="1" t="s">
        <v>484</v>
      </c>
      <c r="B494" s="1">
        <v>33</v>
      </c>
      <c r="C494" s="1" t="s">
        <v>498</v>
      </c>
    </row>
    <row r="495" spans="1:3" x14ac:dyDescent="0.3">
      <c r="A495" s="1" t="s">
        <v>484</v>
      </c>
      <c r="B495" s="1">
        <v>34</v>
      </c>
      <c r="C495" s="1" t="s">
        <v>499</v>
      </c>
    </row>
    <row r="496" spans="1:3" x14ac:dyDescent="0.3">
      <c r="A496" s="1" t="s">
        <v>484</v>
      </c>
      <c r="B496" s="1">
        <v>35</v>
      </c>
      <c r="C496" s="1" t="s">
        <v>500</v>
      </c>
    </row>
    <row r="497" spans="1:3" x14ac:dyDescent="0.3">
      <c r="A497" s="1" t="s">
        <v>484</v>
      </c>
      <c r="B497" s="1">
        <v>36</v>
      </c>
      <c r="C497" s="1" t="s">
        <v>501</v>
      </c>
    </row>
    <row r="498" spans="1:3" x14ac:dyDescent="0.3">
      <c r="A498" s="1" t="s">
        <v>484</v>
      </c>
      <c r="B498" s="1">
        <v>37</v>
      </c>
      <c r="C498" s="1" t="s">
        <v>502</v>
      </c>
    </row>
    <row r="499" spans="1:3" x14ac:dyDescent="0.3">
      <c r="A499" s="1" t="s">
        <v>484</v>
      </c>
      <c r="B499" s="1">
        <v>38</v>
      </c>
      <c r="C499" s="1" t="s">
        <v>503</v>
      </c>
    </row>
    <row r="500" spans="1:3" x14ac:dyDescent="0.3">
      <c r="A500" s="1" t="s">
        <v>484</v>
      </c>
      <c r="B500" s="1">
        <v>39</v>
      </c>
      <c r="C500" s="1" t="s">
        <v>504</v>
      </c>
    </row>
    <row r="501" spans="1:3" x14ac:dyDescent="0.3">
      <c r="A501" s="1" t="s">
        <v>484</v>
      </c>
      <c r="B501" s="1">
        <v>40</v>
      </c>
      <c r="C501" s="1" t="s">
        <v>505</v>
      </c>
    </row>
    <row r="502" spans="1:3" x14ac:dyDescent="0.3">
      <c r="A502" s="1" t="s">
        <v>484</v>
      </c>
      <c r="B502" s="1">
        <v>41</v>
      </c>
      <c r="C502" s="1" t="s">
        <v>506</v>
      </c>
    </row>
    <row r="503" spans="1:3" x14ac:dyDescent="0.3">
      <c r="A503" s="1" t="s">
        <v>484</v>
      </c>
      <c r="B503" s="1">
        <v>42</v>
      </c>
      <c r="C503" s="1" t="s">
        <v>507</v>
      </c>
    </row>
    <row r="504" spans="1:3" x14ac:dyDescent="0.3">
      <c r="A504" s="1" t="s">
        <v>484</v>
      </c>
      <c r="B504" s="1">
        <v>43</v>
      </c>
      <c r="C504" s="1" t="s">
        <v>508</v>
      </c>
    </row>
    <row r="505" spans="1:3" x14ac:dyDescent="0.3">
      <c r="A505" s="1" t="s">
        <v>484</v>
      </c>
      <c r="B505" s="1">
        <v>44</v>
      </c>
      <c r="C505" s="1" t="s">
        <v>509</v>
      </c>
    </row>
    <row r="506" spans="1:3" x14ac:dyDescent="0.3">
      <c r="A506" s="1" t="s">
        <v>484</v>
      </c>
      <c r="B506" s="1">
        <v>45</v>
      </c>
      <c r="C506" s="1" t="s">
        <v>510</v>
      </c>
    </row>
    <row r="507" spans="1:3" x14ac:dyDescent="0.3">
      <c r="A507" s="1" t="s">
        <v>484</v>
      </c>
      <c r="B507" s="1">
        <v>46</v>
      </c>
      <c r="C507" s="1" t="s">
        <v>511</v>
      </c>
    </row>
    <row r="508" spans="1:3" x14ac:dyDescent="0.3">
      <c r="A508" s="1" t="s">
        <v>484</v>
      </c>
      <c r="B508" s="1">
        <v>47</v>
      </c>
      <c r="C508" s="1" t="s">
        <v>512</v>
      </c>
    </row>
    <row r="509" spans="1:3" x14ac:dyDescent="0.3">
      <c r="A509" s="1" t="s">
        <v>484</v>
      </c>
      <c r="B509" s="1">
        <v>48</v>
      </c>
      <c r="C509" s="1" t="s">
        <v>513</v>
      </c>
    </row>
    <row r="510" spans="1:3" x14ac:dyDescent="0.3">
      <c r="A510" s="1" t="s">
        <v>484</v>
      </c>
      <c r="B510" s="1">
        <v>49</v>
      </c>
      <c r="C510" s="1" t="s">
        <v>514</v>
      </c>
    </row>
    <row r="511" spans="1:3" x14ac:dyDescent="0.3">
      <c r="A511" s="1" t="s">
        <v>484</v>
      </c>
      <c r="B511" s="1">
        <v>50</v>
      </c>
      <c r="C511" s="1" t="s">
        <v>515</v>
      </c>
    </row>
    <row r="512" spans="1:3" x14ac:dyDescent="0.3">
      <c r="A512" s="1" t="s">
        <v>484</v>
      </c>
      <c r="B512" s="1">
        <v>51</v>
      </c>
      <c r="C512" s="1" t="s">
        <v>516</v>
      </c>
    </row>
    <row r="513" spans="1:3" x14ac:dyDescent="0.3">
      <c r="A513" s="1" t="s">
        <v>484</v>
      </c>
      <c r="B513" s="1">
        <v>52</v>
      </c>
      <c r="C513" s="1" t="s">
        <v>517</v>
      </c>
    </row>
    <row r="514" spans="1:3" x14ac:dyDescent="0.3">
      <c r="A514" s="1" t="s">
        <v>484</v>
      </c>
      <c r="B514" s="1">
        <v>53</v>
      </c>
      <c r="C514" s="1" t="s">
        <v>518</v>
      </c>
    </row>
    <row r="515" spans="1:3" x14ac:dyDescent="0.3">
      <c r="A515" s="1" t="s">
        <v>484</v>
      </c>
      <c r="B515" s="1">
        <v>54</v>
      </c>
      <c r="C515" s="1" t="s">
        <v>519</v>
      </c>
    </row>
    <row r="516" spans="1:3" x14ac:dyDescent="0.3">
      <c r="A516" s="1" t="s">
        <v>484</v>
      </c>
      <c r="B516" s="1">
        <v>55</v>
      </c>
      <c r="C516" s="1" t="s">
        <v>520</v>
      </c>
    </row>
    <row r="517" spans="1:3" x14ac:dyDescent="0.3">
      <c r="A517" s="1" t="s">
        <v>484</v>
      </c>
      <c r="B517" s="1">
        <v>56</v>
      </c>
      <c r="C517" s="1" t="s">
        <v>521</v>
      </c>
    </row>
    <row r="518" spans="1:3" x14ac:dyDescent="0.3">
      <c r="A518" s="1" t="s">
        <v>484</v>
      </c>
      <c r="B518" s="1">
        <v>57</v>
      </c>
      <c r="C518" s="1" t="s">
        <v>522</v>
      </c>
    </row>
    <row r="519" spans="1:3" x14ac:dyDescent="0.3">
      <c r="A519" s="1" t="s">
        <v>484</v>
      </c>
      <c r="B519" s="1">
        <v>58</v>
      </c>
      <c r="C519" s="1" t="s">
        <v>523</v>
      </c>
    </row>
    <row r="520" spans="1:3" x14ac:dyDescent="0.3">
      <c r="A520" s="1" t="s">
        <v>484</v>
      </c>
      <c r="B520" s="1">
        <v>59</v>
      </c>
      <c r="C520" s="1" t="s">
        <v>524</v>
      </c>
    </row>
    <row r="521" spans="1:3" x14ac:dyDescent="0.3">
      <c r="A521" s="1" t="s">
        <v>484</v>
      </c>
      <c r="B521" s="1">
        <v>60</v>
      </c>
      <c r="C521" s="1" t="s">
        <v>525</v>
      </c>
    </row>
    <row r="522" spans="1:3" x14ac:dyDescent="0.3">
      <c r="A522" s="1" t="s">
        <v>484</v>
      </c>
      <c r="B522" s="1">
        <v>61</v>
      </c>
      <c r="C522" s="1" t="s">
        <v>526</v>
      </c>
    </row>
    <row r="523" spans="1:3" x14ac:dyDescent="0.3">
      <c r="A523" s="1" t="s">
        <v>484</v>
      </c>
      <c r="B523" s="1">
        <v>62</v>
      </c>
      <c r="C523" s="1" t="s">
        <v>527</v>
      </c>
    </row>
    <row r="524" spans="1:3" x14ac:dyDescent="0.3">
      <c r="A524" s="1" t="s">
        <v>484</v>
      </c>
      <c r="B524" s="1">
        <v>63</v>
      </c>
      <c r="C524" s="1" t="s">
        <v>528</v>
      </c>
    </row>
    <row r="525" spans="1:3" x14ac:dyDescent="0.3">
      <c r="A525" s="1" t="s">
        <v>484</v>
      </c>
      <c r="B525" s="1">
        <v>64</v>
      </c>
      <c r="C525" s="1" t="s">
        <v>529</v>
      </c>
    </row>
    <row r="526" spans="1:3" x14ac:dyDescent="0.3">
      <c r="A526" s="1" t="s">
        <v>484</v>
      </c>
      <c r="B526" s="1">
        <v>65</v>
      </c>
      <c r="C526" s="1" t="s">
        <v>530</v>
      </c>
    </row>
    <row r="527" spans="1:3" x14ac:dyDescent="0.3">
      <c r="A527" s="1" t="s">
        <v>484</v>
      </c>
      <c r="B527" s="1">
        <v>66</v>
      </c>
      <c r="C527" s="1" t="s">
        <v>531</v>
      </c>
    </row>
    <row r="528" spans="1:3" x14ac:dyDescent="0.3">
      <c r="A528" s="1" t="s">
        <v>484</v>
      </c>
      <c r="B528" s="1">
        <v>67</v>
      </c>
      <c r="C528" s="1" t="s">
        <v>532</v>
      </c>
    </row>
    <row r="529" spans="1:3" x14ac:dyDescent="0.3">
      <c r="A529" s="1" t="s">
        <v>484</v>
      </c>
      <c r="B529" s="1">
        <v>68</v>
      </c>
      <c r="C529" s="1" t="s">
        <v>533</v>
      </c>
    </row>
    <row r="530" spans="1:3" x14ac:dyDescent="0.3">
      <c r="A530" s="1" t="s">
        <v>484</v>
      </c>
      <c r="B530" s="1">
        <v>69</v>
      </c>
      <c r="C530" s="1" t="s">
        <v>534</v>
      </c>
    </row>
    <row r="531" spans="1:3" x14ac:dyDescent="0.3">
      <c r="A531" s="1" t="s">
        <v>484</v>
      </c>
      <c r="B531" s="1">
        <v>70</v>
      </c>
      <c r="C531" s="1" t="s">
        <v>535</v>
      </c>
    </row>
    <row r="532" spans="1:3" x14ac:dyDescent="0.3">
      <c r="A532" s="1" t="s">
        <v>484</v>
      </c>
      <c r="B532" s="1">
        <v>71</v>
      </c>
      <c r="C532" s="1" t="s">
        <v>536</v>
      </c>
    </row>
    <row r="533" spans="1:3" x14ac:dyDescent="0.3">
      <c r="A533" s="1" t="s">
        <v>484</v>
      </c>
      <c r="B533" s="1">
        <v>72</v>
      </c>
      <c r="C533" s="1" t="s">
        <v>537</v>
      </c>
    </row>
    <row r="534" spans="1:3" x14ac:dyDescent="0.3">
      <c r="A534" s="1" t="s">
        <v>484</v>
      </c>
      <c r="B534" s="1">
        <v>73</v>
      </c>
      <c r="C534" s="1" t="s">
        <v>538</v>
      </c>
    </row>
    <row r="535" spans="1:3" x14ac:dyDescent="0.3">
      <c r="A535" s="1" t="s">
        <v>484</v>
      </c>
      <c r="B535" s="1">
        <v>74</v>
      </c>
      <c r="C535" s="1" t="s">
        <v>539</v>
      </c>
    </row>
    <row r="536" spans="1:3" x14ac:dyDescent="0.3">
      <c r="A536" s="1" t="s">
        <v>484</v>
      </c>
      <c r="B536" s="1">
        <v>75</v>
      </c>
      <c r="C536" s="1" t="s">
        <v>540</v>
      </c>
    </row>
    <row r="537" spans="1:3" x14ac:dyDescent="0.3">
      <c r="A537" s="1" t="s">
        <v>484</v>
      </c>
      <c r="B537" s="1">
        <v>76</v>
      </c>
      <c r="C537" s="1" t="s">
        <v>541</v>
      </c>
    </row>
    <row r="538" spans="1:3" x14ac:dyDescent="0.3">
      <c r="A538" s="1" t="s">
        <v>484</v>
      </c>
      <c r="B538" s="1">
        <v>77</v>
      </c>
      <c r="C538" s="1" t="s">
        <v>542</v>
      </c>
    </row>
    <row r="539" spans="1:3" x14ac:dyDescent="0.3">
      <c r="A539" s="1" t="s">
        <v>484</v>
      </c>
      <c r="B539" s="1">
        <v>78</v>
      </c>
      <c r="C539" s="1" t="s">
        <v>543</v>
      </c>
    </row>
    <row r="540" spans="1:3" x14ac:dyDescent="0.3">
      <c r="A540" s="1" t="s">
        <v>484</v>
      </c>
      <c r="B540" s="1">
        <v>79</v>
      </c>
      <c r="C540" s="1" t="s">
        <v>544</v>
      </c>
    </row>
    <row r="541" spans="1:3" x14ac:dyDescent="0.3">
      <c r="A541" s="1" t="s">
        <v>484</v>
      </c>
      <c r="B541" s="1">
        <v>80</v>
      </c>
      <c r="C541" s="1" t="s">
        <v>545</v>
      </c>
    </row>
    <row r="542" spans="1:3" x14ac:dyDescent="0.3">
      <c r="A542" s="1" t="s">
        <v>484</v>
      </c>
      <c r="B542" s="1">
        <v>81</v>
      </c>
      <c r="C542" s="1" t="s">
        <v>546</v>
      </c>
    </row>
    <row r="543" spans="1:3" x14ac:dyDescent="0.3">
      <c r="A543" s="1" t="s">
        <v>484</v>
      </c>
      <c r="B543" s="1">
        <v>82</v>
      </c>
      <c r="C543" s="1" t="s">
        <v>547</v>
      </c>
    </row>
    <row r="544" spans="1:3" x14ac:dyDescent="0.3">
      <c r="A544" s="1" t="s">
        <v>484</v>
      </c>
      <c r="B544" s="1">
        <v>83</v>
      </c>
      <c r="C544" s="1" t="s">
        <v>548</v>
      </c>
    </row>
    <row r="545" spans="1:3" x14ac:dyDescent="0.3">
      <c r="A545" s="1" t="s">
        <v>484</v>
      </c>
      <c r="B545" s="1">
        <v>84</v>
      </c>
      <c r="C545" s="1" t="s">
        <v>549</v>
      </c>
    </row>
    <row r="546" spans="1:3" x14ac:dyDescent="0.3">
      <c r="A546" s="1" t="s">
        <v>484</v>
      </c>
      <c r="B546" s="1">
        <v>85</v>
      </c>
      <c r="C546" s="1" t="s">
        <v>550</v>
      </c>
    </row>
    <row r="547" spans="1:3" x14ac:dyDescent="0.3">
      <c r="A547" s="1" t="s">
        <v>484</v>
      </c>
      <c r="B547" s="1">
        <v>86</v>
      </c>
      <c r="C547" s="1" t="s">
        <v>551</v>
      </c>
    </row>
    <row r="548" spans="1:3" x14ac:dyDescent="0.3">
      <c r="A548" s="1" t="s">
        <v>484</v>
      </c>
      <c r="B548" s="1">
        <v>87</v>
      </c>
      <c r="C548" s="1" t="s">
        <v>552</v>
      </c>
    </row>
    <row r="549" spans="1:3" x14ac:dyDescent="0.3">
      <c r="A549" s="1" t="s">
        <v>484</v>
      </c>
      <c r="B549" s="1">
        <v>88</v>
      </c>
      <c r="C549" s="1" t="s">
        <v>553</v>
      </c>
    </row>
    <row r="550" spans="1:3" x14ac:dyDescent="0.3">
      <c r="A550" s="1" t="s">
        <v>484</v>
      </c>
      <c r="B550" s="1">
        <v>89</v>
      </c>
      <c r="C550" s="1" t="s">
        <v>554</v>
      </c>
    </row>
    <row r="551" spans="1:3" x14ac:dyDescent="0.3">
      <c r="A551" s="1" t="s">
        <v>484</v>
      </c>
      <c r="B551" s="1">
        <v>90</v>
      </c>
      <c r="C551" s="1" t="s">
        <v>555</v>
      </c>
    </row>
    <row r="552" spans="1:3" x14ac:dyDescent="0.3">
      <c r="A552" s="1" t="s">
        <v>484</v>
      </c>
      <c r="B552" s="1">
        <v>91</v>
      </c>
      <c r="C552" s="1" t="s">
        <v>556</v>
      </c>
    </row>
    <row r="553" spans="1:3" x14ac:dyDescent="0.3">
      <c r="A553" s="1" t="s">
        <v>484</v>
      </c>
      <c r="B553" s="1">
        <v>92</v>
      </c>
      <c r="C553" s="1" t="s">
        <v>557</v>
      </c>
    </row>
    <row r="554" spans="1:3" x14ac:dyDescent="0.3">
      <c r="A554" s="1" t="s">
        <v>484</v>
      </c>
      <c r="B554" s="1">
        <v>93</v>
      </c>
      <c r="C554" s="1" t="s">
        <v>558</v>
      </c>
    </row>
    <row r="555" spans="1:3" x14ac:dyDescent="0.3">
      <c r="A555" s="1" t="s">
        <v>484</v>
      </c>
      <c r="B555" s="1">
        <v>94</v>
      </c>
      <c r="C555" s="1" t="s">
        <v>559</v>
      </c>
    </row>
    <row r="556" spans="1:3" x14ac:dyDescent="0.3">
      <c r="A556" s="1" t="s">
        <v>484</v>
      </c>
      <c r="B556" s="1">
        <v>95</v>
      </c>
      <c r="C556" s="1" t="s">
        <v>560</v>
      </c>
    </row>
    <row r="557" spans="1:3" x14ac:dyDescent="0.3">
      <c r="A557" s="1" t="s">
        <v>484</v>
      </c>
      <c r="B557" s="1">
        <v>96</v>
      </c>
      <c r="C557" s="1" t="s">
        <v>561</v>
      </c>
    </row>
    <row r="558" spans="1:3" x14ac:dyDescent="0.3">
      <c r="A558" s="1" t="s">
        <v>484</v>
      </c>
      <c r="B558" s="1">
        <v>97</v>
      </c>
      <c r="C558" s="1" t="s">
        <v>562</v>
      </c>
    </row>
    <row r="559" spans="1:3" x14ac:dyDescent="0.3">
      <c r="A559" s="1" t="s">
        <v>484</v>
      </c>
      <c r="B559" s="1">
        <v>98</v>
      </c>
      <c r="C559" s="1" t="s">
        <v>563</v>
      </c>
    </row>
    <row r="560" spans="1:3" x14ac:dyDescent="0.3">
      <c r="A560" s="1" t="s">
        <v>484</v>
      </c>
      <c r="B560" s="1">
        <v>99</v>
      </c>
      <c r="C560" s="1" t="s">
        <v>564</v>
      </c>
    </row>
    <row r="561" spans="1:3" x14ac:dyDescent="0.3">
      <c r="A561" s="1" t="s">
        <v>484</v>
      </c>
      <c r="B561" s="1">
        <v>100</v>
      </c>
      <c r="C561" s="1" t="s">
        <v>565</v>
      </c>
    </row>
    <row r="562" spans="1:3" x14ac:dyDescent="0.3">
      <c r="A562" s="1" t="s">
        <v>484</v>
      </c>
      <c r="B562" s="1">
        <v>101</v>
      </c>
      <c r="C562" s="1" t="s">
        <v>566</v>
      </c>
    </row>
    <row r="563" spans="1:3" x14ac:dyDescent="0.3">
      <c r="A563" s="1" t="s">
        <v>484</v>
      </c>
      <c r="B563" s="1">
        <v>102</v>
      </c>
      <c r="C563" s="1" t="s">
        <v>567</v>
      </c>
    </row>
    <row r="564" spans="1:3" x14ac:dyDescent="0.3">
      <c r="A564" s="1" t="s">
        <v>484</v>
      </c>
      <c r="B564" s="1">
        <v>103</v>
      </c>
      <c r="C564" s="1" t="s">
        <v>568</v>
      </c>
    </row>
    <row r="565" spans="1:3" x14ac:dyDescent="0.3">
      <c r="A565" s="1" t="s">
        <v>484</v>
      </c>
      <c r="B565" s="1">
        <v>104</v>
      </c>
      <c r="C565" s="1" t="s">
        <v>569</v>
      </c>
    </row>
    <row r="566" spans="1:3" x14ac:dyDescent="0.3">
      <c r="A566" s="1" t="s">
        <v>484</v>
      </c>
      <c r="B566" s="1">
        <v>105</v>
      </c>
      <c r="C566" s="1" t="s">
        <v>570</v>
      </c>
    </row>
    <row r="567" spans="1:3" x14ac:dyDescent="0.3">
      <c r="A567" s="1" t="s">
        <v>484</v>
      </c>
      <c r="B567" s="1">
        <v>106</v>
      </c>
      <c r="C567" s="1" t="s">
        <v>571</v>
      </c>
    </row>
    <row r="568" spans="1:3" x14ac:dyDescent="0.3">
      <c r="A568" s="1" t="s">
        <v>484</v>
      </c>
      <c r="B568" s="1">
        <v>107</v>
      </c>
      <c r="C568" s="1" t="s">
        <v>572</v>
      </c>
    </row>
    <row r="569" spans="1:3" x14ac:dyDescent="0.3">
      <c r="A569" s="1" t="s">
        <v>484</v>
      </c>
      <c r="B569" s="1">
        <v>108</v>
      </c>
      <c r="C569" s="1" t="s">
        <v>573</v>
      </c>
    </row>
    <row r="570" spans="1:3" x14ac:dyDescent="0.3">
      <c r="A570" s="1" t="s">
        <v>484</v>
      </c>
      <c r="B570" s="1">
        <v>109</v>
      </c>
      <c r="C570" s="1" t="s">
        <v>574</v>
      </c>
    </row>
    <row r="571" spans="1:3" x14ac:dyDescent="0.3">
      <c r="A571" s="1" t="s">
        <v>484</v>
      </c>
      <c r="B571" s="1">
        <v>110</v>
      </c>
      <c r="C571" s="1" t="s">
        <v>575</v>
      </c>
    </row>
    <row r="572" spans="1:3" x14ac:dyDescent="0.3">
      <c r="A572" s="1" t="s">
        <v>484</v>
      </c>
      <c r="B572" s="1">
        <v>111</v>
      </c>
      <c r="C572" s="1" t="s">
        <v>576</v>
      </c>
    </row>
    <row r="573" spans="1:3" x14ac:dyDescent="0.3">
      <c r="A573" s="1" t="s">
        <v>484</v>
      </c>
      <c r="B573" s="1">
        <v>112</v>
      </c>
      <c r="C573" s="1" t="s">
        <v>577</v>
      </c>
    </row>
    <row r="574" spans="1:3" x14ac:dyDescent="0.3">
      <c r="A574" s="1" t="s">
        <v>484</v>
      </c>
      <c r="B574" s="1">
        <v>113</v>
      </c>
      <c r="C574" s="1" t="s">
        <v>578</v>
      </c>
    </row>
    <row r="575" spans="1:3" x14ac:dyDescent="0.3">
      <c r="A575" s="1" t="s">
        <v>484</v>
      </c>
      <c r="B575" s="1">
        <v>114</v>
      </c>
      <c r="C575" s="1" t="s">
        <v>579</v>
      </c>
    </row>
    <row r="576" spans="1:3" x14ac:dyDescent="0.3">
      <c r="A576" s="1" t="s">
        <v>484</v>
      </c>
      <c r="B576" s="1">
        <v>115</v>
      </c>
      <c r="C576" s="1" t="s">
        <v>580</v>
      </c>
    </row>
    <row r="577" spans="1:3" x14ac:dyDescent="0.3">
      <c r="A577" s="1" t="s">
        <v>484</v>
      </c>
      <c r="B577" s="1">
        <v>116</v>
      </c>
      <c r="C577" s="1" t="s">
        <v>581</v>
      </c>
    </row>
    <row r="578" spans="1:3" x14ac:dyDescent="0.3">
      <c r="A578" s="1" t="s">
        <v>484</v>
      </c>
      <c r="B578" s="1">
        <v>117</v>
      </c>
      <c r="C578" s="1" t="s">
        <v>439</v>
      </c>
    </row>
    <row r="579" spans="1:3" x14ac:dyDescent="0.3">
      <c r="A579" s="1" t="s">
        <v>484</v>
      </c>
      <c r="B579" s="1">
        <v>118</v>
      </c>
      <c r="C579" s="1" t="s">
        <v>440</v>
      </c>
    </row>
    <row r="580" spans="1:3" x14ac:dyDescent="0.3">
      <c r="A580" s="1" t="s">
        <v>484</v>
      </c>
      <c r="B580" s="1">
        <v>119</v>
      </c>
      <c r="C580" s="1" t="s">
        <v>582</v>
      </c>
    </row>
    <row r="581" spans="1:3" x14ac:dyDescent="0.3">
      <c r="A581" s="1" t="s">
        <v>484</v>
      </c>
      <c r="B581" s="1">
        <v>120</v>
      </c>
      <c r="C581" s="1" t="s">
        <v>583</v>
      </c>
    </row>
    <row r="582" spans="1:3" x14ac:dyDescent="0.3">
      <c r="A582" s="1" t="s">
        <v>484</v>
      </c>
      <c r="B582" s="1">
        <v>121</v>
      </c>
      <c r="C582" s="1" t="s">
        <v>584</v>
      </c>
    </row>
    <row r="583" spans="1:3" x14ac:dyDescent="0.3">
      <c r="A583" s="1" t="s">
        <v>484</v>
      </c>
      <c r="B583" s="1">
        <v>122</v>
      </c>
      <c r="C583" s="1" t="s">
        <v>585</v>
      </c>
    </row>
    <row r="584" spans="1:3" x14ac:dyDescent="0.3">
      <c r="A584" s="1" t="s">
        <v>484</v>
      </c>
      <c r="B584" s="1">
        <v>123</v>
      </c>
      <c r="C584" s="1" t="s">
        <v>586</v>
      </c>
    </row>
    <row r="585" spans="1:3" x14ac:dyDescent="0.3">
      <c r="A585" s="1" t="s">
        <v>484</v>
      </c>
      <c r="B585" s="1">
        <v>124</v>
      </c>
      <c r="C585" s="1" t="s">
        <v>587</v>
      </c>
    </row>
    <row r="586" spans="1:3" x14ac:dyDescent="0.3">
      <c r="A586" s="1" t="s">
        <v>484</v>
      </c>
      <c r="B586" s="1">
        <v>125</v>
      </c>
      <c r="C586" s="1" t="s">
        <v>588</v>
      </c>
    </row>
    <row r="587" spans="1:3" x14ac:dyDescent="0.3">
      <c r="A587" s="1" t="s">
        <v>484</v>
      </c>
      <c r="B587" s="1">
        <v>126</v>
      </c>
      <c r="C587" s="1" t="s">
        <v>589</v>
      </c>
    </row>
    <row r="588" spans="1:3" x14ac:dyDescent="0.3">
      <c r="A588" s="1" t="s">
        <v>484</v>
      </c>
      <c r="B588" s="1">
        <v>127</v>
      </c>
      <c r="C588" s="1" t="s">
        <v>590</v>
      </c>
    </row>
    <row r="589" spans="1:3" x14ac:dyDescent="0.3">
      <c r="A589" s="1" t="s">
        <v>484</v>
      </c>
      <c r="B589" s="1">
        <v>128</v>
      </c>
      <c r="C589" s="1" t="s">
        <v>591</v>
      </c>
    </row>
    <row r="590" spans="1:3" x14ac:dyDescent="0.3">
      <c r="A590" s="1" t="s">
        <v>484</v>
      </c>
      <c r="B590" s="1">
        <v>129</v>
      </c>
      <c r="C590" s="1" t="s">
        <v>592</v>
      </c>
    </row>
    <row r="591" spans="1:3" x14ac:dyDescent="0.3">
      <c r="A591" s="1" t="s">
        <v>484</v>
      </c>
      <c r="B591" s="1">
        <v>130</v>
      </c>
      <c r="C591" s="1" t="s">
        <v>593</v>
      </c>
    </row>
    <row r="592" spans="1:3" x14ac:dyDescent="0.3">
      <c r="A592" s="1" t="s">
        <v>484</v>
      </c>
      <c r="B592" s="1">
        <v>131</v>
      </c>
      <c r="C592" s="1" t="s">
        <v>594</v>
      </c>
    </row>
    <row r="593" spans="1:3" x14ac:dyDescent="0.3">
      <c r="A593" s="1" t="s">
        <v>484</v>
      </c>
      <c r="B593" s="1">
        <v>132</v>
      </c>
      <c r="C593" s="1" t="s">
        <v>595</v>
      </c>
    </row>
    <row r="594" spans="1:3" x14ac:dyDescent="0.3">
      <c r="A594" s="1" t="s">
        <v>484</v>
      </c>
      <c r="B594" s="1">
        <v>133</v>
      </c>
      <c r="C594" s="1" t="s">
        <v>596</v>
      </c>
    </row>
    <row r="595" spans="1:3" x14ac:dyDescent="0.3">
      <c r="A595" s="1" t="s">
        <v>484</v>
      </c>
      <c r="B595" s="1">
        <v>134</v>
      </c>
      <c r="C595" s="1" t="s">
        <v>597</v>
      </c>
    </row>
    <row r="596" spans="1:3" x14ac:dyDescent="0.3">
      <c r="A596" s="1" t="s">
        <v>484</v>
      </c>
      <c r="B596" s="1">
        <v>135</v>
      </c>
      <c r="C596" s="1" t="s">
        <v>598</v>
      </c>
    </row>
    <row r="597" spans="1:3" x14ac:dyDescent="0.3">
      <c r="A597" s="1" t="s">
        <v>484</v>
      </c>
      <c r="B597" s="1">
        <v>136</v>
      </c>
      <c r="C597" s="1" t="s">
        <v>599</v>
      </c>
    </row>
    <row r="598" spans="1:3" x14ac:dyDescent="0.3">
      <c r="A598" s="1" t="s">
        <v>484</v>
      </c>
      <c r="B598" s="1">
        <v>137</v>
      </c>
      <c r="C598" s="1" t="s">
        <v>600</v>
      </c>
    </row>
    <row r="599" spans="1:3" x14ac:dyDescent="0.3">
      <c r="A599" s="1" t="s">
        <v>484</v>
      </c>
      <c r="B599" s="1">
        <v>138</v>
      </c>
      <c r="C599" s="1" t="s">
        <v>601</v>
      </c>
    </row>
    <row r="600" spans="1:3" x14ac:dyDescent="0.3">
      <c r="A600" s="1" t="s">
        <v>484</v>
      </c>
      <c r="B600" s="1">
        <v>139</v>
      </c>
      <c r="C600" s="1" t="s">
        <v>602</v>
      </c>
    </row>
    <row r="601" spans="1:3" x14ac:dyDescent="0.3">
      <c r="A601" s="1" t="s">
        <v>484</v>
      </c>
      <c r="B601" s="1">
        <v>140</v>
      </c>
      <c r="C601" s="1" t="s">
        <v>603</v>
      </c>
    </row>
    <row r="602" spans="1:3" x14ac:dyDescent="0.3">
      <c r="A602" s="1" t="s">
        <v>484</v>
      </c>
      <c r="B602" s="1">
        <v>141</v>
      </c>
      <c r="C602" s="1" t="s">
        <v>604</v>
      </c>
    </row>
    <row r="603" spans="1:3" x14ac:dyDescent="0.3">
      <c r="A603" s="1" t="s">
        <v>484</v>
      </c>
      <c r="B603" s="1">
        <v>142</v>
      </c>
      <c r="C603" s="1" t="s">
        <v>605</v>
      </c>
    </row>
    <row r="604" spans="1:3" x14ac:dyDescent="0.3">
      <c r="A604" s="1" t="s">
        <v>484</v>
      </c>
      <c r="B604" s="1">
        <v>143</v>
      </c>
      <c r="C604" s="1" t="s">
        <v>606</v>
      </c>
    </row>
    <row r="605" spans="1:3" x14ac:dyDescent="0.3">
      <c r="A605" s="1" t="s">
        <v>484</v>
      </c>
      <c r="B605" s="1">
        <v>144</v>
      </c>
      <c r="C605" s="1" t="s">
        <v>607</v>
      </c>
    </row>
    <row r="606" spans="1:3" x14ac:dyDescent="0.3">
      <c r="A606" s="1" t="s">
        <v>484</v>
      </c>
      <c r="B606" s="1">
        <v>145</v>
      </c>
      <c r="C606" s="1" t="s">
        <v>608</v>
      </c>
    </row>
    <row r="607" spans="1:3" x14ac:dyDescent="0.3">
      <c r="A607" s="1" t="s">
        <v>484</v>
      </c>
      <c r="B607" s="1">
        <v>146</v>
      </c>
      <c r="C607" s="1" t="s">
        <v>609</v>
      </c>
    </row>
    <row r="608" spans="1:3" x14ac:dyDescent="0.3">
      <c r="A608" s="1" t="s">
        <v>484</v>
      </c>
      <c r="B608" s="1">
        <v>147</v>
      </c>
      <c r="C608" s="1" t="s">
        <v>610</v>
      </c>
    </row>
    <row r="609" spans="1:3" x14ac:dyDescent="0.3">
      <c r="A609" s="1" t="s">
        <v>484</v>
      </c>
      <c r="B609" s="1">
        <v>148</v>
      </c>
      <c r="C609" s="1" t="s">
        <v>611</v>
      </c>
    </row>
    <row r="610" spans="1:3" x14ac:dyDescent="0.3">
      <c r="A610" s="1" t="s">
        <v>484</v>
      </c>
      <c r="B610" s="1">
        <v>149</v>
      </c>
      <c r="C610" s="1" t="s">
        <v>612</v>
      </c>
    </row>
    <row r="611" spans="1:3" x14ac:dyDescent="0.3">
      <c r="A611" s="1" t="s">
        <v>484</v>
      </c>
      <c r="B611" s="1">
        <v>150</v>
      </c>
      <c r="C611" s="1" t="s">
        <v>613</v>
      </c>
    </row>
    <row r="612" spans="1:3" x14ac:dyDescent="0.3">
      <c r="A612" s="1" t="s">
        <v>484</v>
      </c>
      <c r="B612" s="1">
        <v>151</v>
      </c>
      <c r="C612" s="1" t="s">
        <v>614</v>
      </c>
    </row>
    <row r="613" spans="1:3" x14ac:dyDescent="0.3">
      <c r="A613" s="1" t="s">
        <v>484</v>
      </c>
      <c r="B613" s="1">
        <v>152</v>
      </c>
      <c r="C613" s="1" t="s">
        <v>615</v>
      </c>
    </row>
    <row r="614" spans="1:3" x14ac:dyDescent="0.3">
      <c r="A614" s="1" t="s">
        <v>484</v>
      </c>
      <c r="B614" s="1">
        <v>153</v>
      </c>
      <c r="C614" s="1" t="s">
        <v>616</v>
      </c>
    </row>
    <row r="615" spans="1:3" x14ac:dyDescent="0.3">
      <c r="A615" s="1" t="s">
        <v>484</v>
      </c>
      <c r="B615" s="1">
        <v>154</v>
      </c>
      <c r="C615" s="1" t="s">
        <v>617</v>
      </c>
    </row>
    <row r="616" spans="1:3" x14ac:dyDescent="0.3">
      <c r="A616" s="1" t="s">
        <v>484</v>
      </c>
      <c r="B616" s="1">
        <v>155</v>
      </c>
      <c r="C616" s="1" t="s">
        <v>618</v>
      </c>
    </row>
    <row r="617" spans="1:3" x14ac:dyDescent="0.3">
      <c r="A617" s="1" t="s">
        <v>484</v>
      </c>
      <c r="B617" s="1">
        <v>156</v>
      </c>
      <c r="C617" s="1" t="s">
        <v>619</v>
      </c>
    </row>
    <row r="618" spans="1:3" x14ac:dyDescent="0.3">
      <c r="A618" s="1" t="s">
        <v>484</v>
      </c>
      <c r="B618" s="1">
        <v>157</v>
      </c>
      <c r="C618" s="1" t="s">
        <v>620</v>
      </c>
    </row>
    <row r="619" spans="1:3" x14ac:dyDescent="0.3">
      <c r="A619" s="1" t="s">
        <v>484</v>
      </c>
      <c r="B619" s="1">
        <v>158</v>
      </c>
      <c r="C619" s="1" t="s">
        <v>621</v>
      </c>
    </row>
    <row r="620" spans="1:3" x14ac:dyDescent="0.3">
      <c r="A620" s="1" t="s">
        <v>484</v>
      </c>
      <c r="B620" s="1">
        <v>159</v>
      </c>
      <c r="C620" s="1" t="s">
        <v>622</v>
      </c>
    </row>
    <row r="621" spans="1:3" x14ac:dyDescent="0.3">
      <c r="A621" s="1" t="s">
        <v>484</v>
      </c>
      <c r="B621" s="1">
        <v>160</v>
      </c>
      <c r="C621" s="1" t="s">
        <v>623</v>
      </c>
    </row>
    <row r="622" spans="1:3" x14ac:dyDescent="0.3">
      <c r="A622" s="1" t="s">
        <v>484</v>
      </c>
      <c r="B622" s="1">
        <v>161</v>
      </c>
      <c r="C622" s="1" t="s">
        <v>624</v>
      </c>
    </row>
    <row r="623" spans="1:3" x14ac:dyDescent="0.3">
      <c r="A623" s="1" t="s">
        <v>484</v>
      </c>
      <c r="B623" s="1">
        <v>162</v>
      </c>
      <c r="C623" s="1" t="s">
        <v>625</v>
      </c>
    </row>
    <row r="624" spans="1:3" x14ac:dyDescent="0.3">
      <c r="A624" s="1" t="s">
        <v>484</v>
      </c>
      <c r="B624" s="1">
        <v>163</v>
      </c>
      <c r="C624" s="1" t="s">
        <v>626</v>
      </c>
    </row>
    <row r="625" spans="1:3" x14ac:dyDescent="0.3">
      <c r="A625" s="1" t="s">
        <v>484</v>
      </c>
      <c r="B625" s="1">
        <v>164</v>
      </c>
      <c r="C625" s="1" t="s">
        <v>627</v>
      </c>
    </row>
    <row r="626" spans="1:3" x14ac:dyDescent="0.3">
      <c r="A626" s="1" t="s">
        <v>484</v>
      </c>
      <c r="B626" s="1">
        <v>165</v>
      </c>
      <c r="C626" s="1" t="s">
        <v>628</v>
      </c>
    </row>
    <row r="627" spans="1:3" x14ac:dyDescent="0.3">
      <c r="A627" s="1" t="s">
        <v>484</v>
      </c>
      <c r="B627" s="1">
        <v>166</v>
      </c>
      <c r="C627" s="1" t="s">
        <v>629</v>
      </c>
    </row>
    <row r="628" spans="1:3" x14ac:dyDescent="0.3">
      <c r="A628" s="1" t="s">
        <v>484</v>
      </c>
      <c r="B628" s="1">
        <v>167</v>
      </c>
      <c r="C628" s="1" t="s">
        <v>630</v>
      </c>
    </row>
    <row r="629" spans="1:3" x14ac:dyDescent="0.3">
      <c r="A629" s="1" t="s">
        <v>484</v>
      </c>
      <c r="B629" s="1">
        <v>168</v>
      </c>
      <c r="C629" s="1" t="s">
        <v>631</v>
      </c>
    </row>
    <row r="630" spans="1:3" x14ac:dyDescent="0.3">
      <c r="A630" s="1" t="s">
        <v>484</v>
      </c>
      <c r="B630" s="1">
        <v>169</v>
      </c>
      <c r="C630" s="1" t="s">
        <v>632</v>
      </c>
    </row>
    <row r="631" spans="1:3" x14ac:dyDescent="0.3">
      <c r="A631" s="1" t="s">
        <v>484</v>
      </c>
      <c r="B631" s="1">
        <v>170</v>
      </c>
      <c r="C631" s="1" t="s">
        <v>633</v>
      </c>
    </row>
    <row r="632" spans="1:3" x14ac:dyDescent="0.3">
      <c r="A632" s="1" t="s">
        <v>484</v>
      </c>
      <c r="B632" s="1">
        <v>171</v>
      </c>
      <c r="C632" s="1" t="s">
        <v>634</v>
      </c>
    </row>
    <row r="633" spans="1:3" x14ac:dyDescent="0.3">
      <c r="A633" s="1" t="s">
        <v>635</v>
      </c>
      <c r="B633" s="1">
        <v>1</v>
      </c>
      <c r="C633" s="1" t="s">
        <v>563</v>
      </c>
    </row>
    <row r="634" spans="1:3" x14ac:dyDescent="0.3">
      <c r="A634" s="1" t="s">
        <v>635</v>
      </c>
      <c r="B634" s="1">
        <v>2</v>
      </c>
      <c r="C634" s="1" t="s">
        <v>636</v>
      </c>
    </row>
    <row r="635" spans="1:3" x14ac:dyDescent="0.3">
      <c r="A635" s="1" t="s">
        <v>635</v>
      </c>
      <c r="B635" s="1">
        <v>3</v>
      </c>
      <c r="C635" s="1" t="s">
        <v>565</v>
      </c>
    </row>
    <row r="636" spans="1:3" x14ac:dyDescent="0.3">
      <c r="A636" s="1" t="s">
        <v>635</v>
      </c>
      <c r="B636" s="1">
        <v>4</v>
      </c>
      <c r="C636" s="1" t="s">
        <v>566</v>
      </c>
    </row>
    <row r="637" spans="1:3" x14ac:dyDescent="0.3">
      <c r="A637" s="1" t="s">
        <v>635</v>
      </c>
      <c r="B637" s="1">
        <v>5</v>
      </c>
      <c r="C637" s="1" t="s">
        <v>637</v>
      </c>
    </row>
    <row r="638" spans="1:3" x14ac:dyDescent="0.3">
      <c r="A638" s="1" t="s">
        <v>635</v>
      </c>
      <c r="B638" s="1">
        <v>6</v>
      </c>
      <c r="C638" s="1" t="s">
        <v>638</v>
      </c>
    </row>
    <row r="639" spans="1:3" x14ac:dyDescent="0.3">
      <c r="A639" s="1" t="s">
        <v>635</v>
      </c>
      <c r="B639" s="1">
        <v>7</v>
      </c>
      <c r="C639" s="1" t="s">
        <v>639</v>
      </c>
    </row>
    <row r="640" spans="1:3" x14ac:dyDescent="0.3">
      <c r="A640" s="1" t="s">
        <v>635</v>
      </c>
      <c r="B640" s="1">
        <v>8</v>
      </c>
      <c r="C640" s="1" t="s">
        <v>640</v>
      </c>
    </row>
    <row r="641" spans="1:3" x14ac:dyDescent="0.3">
      <c r="A641" s="1" t="s">
        <v>635</v>
      </c>
      <c r="B641" s="1">
        <v>9</v>
      </c>
      <c r="C641" s="1" t="s">
        <v>641</v>
      </c>
    </row>
    <row r="642" spans="1:3" x14ac:dyDescent="0.3">
      <c r="A642" s="1" t="s">
        <v>635</v>
      </c>
      <c r="B642" s="1">
        <v>10</v>
      </c>
      <c r="C642" s="1" t="s">
        <v>569</v>
      </c>
    </row>
    <row r="643" spans="1:3" x14ac:dyDescent="0.3">
      <c r="A643" s="1" t="s">
        <v>635</v>
      </c>
      <c r="B643" s="1">
        <v>11</v>
      </c>
      <c r="C643" s="1" t="s">
        <v>642</v>
      </c>
    </row>
    <row r="644" spans="1:3" x14ac:dyDescent="0.3">
      <c r="A644" s="1" t="s">
        <v>635</v>
      </c>
      <c r="B644" s="1">
        <v>12</v>
      </c>
      <c r="C644" s="1" t="s">
        <v>643</v>
      </c>
    </row>
    <row r="645" spans="1:3" x14ac:dyDescent="0.3">
      <c r="A645" s="1" t="s">
        <v>635</v>
      </c>
      <c r="B645" s="1">
        <v>13</v>
      </c>
      <c r="C645" s="1" t="s">
        <v>644</v>
      </c>
    </row>
    <row r="646" spans="1:3" x14ac:dyDescent="0.3">
      <c r="A646" s="1" t="s">
        <v>635</v>
      </c>
      <c r="B646" s="1">
        <v>14</v>
      </c>
      <c r="C646" s="1" t="s">
        <v>645</v>
      </c>
    </row>
    <row r="647" spans="1:3" x14ac:dyDescent="0.3">
      <c r="A647" s="1" t="s">
        <v>635</v>
      </c>
      <c r="B647" s="1">
        <v>15</v>
      </c>
      <c r="C647" s="1" t="s">
        <v>646</v>
      </c>
    </row>
    <row r="648" spans="1:3" x14ac:dyDescent="0.3">
      <c r="A648" s="1" t="s">
        <v>635</v>
      </c>
      <c r="B648" s="1">
        <v>16</v>
      </c>
      <c r="C648" s="1" t="s">
        <v>647</v>
      </c>
    </row>
    <row r="649" spans="1:3" x14ac:dyDescent="0.3">
      <c r="A649" s="1" t="s">
        <v>635</v>
      </c>
      <c r="B649" s="1">
        <v>17</v>
      </c>
      <c r="C649" s="1" t="s">
        <v>648</v>
      </c>
    </row>
    <row r="650" spans="1:3" x14ac:dyDescent="0.3">
      <c r="A650" s="1" t="s">
        <v>635</v>
      </c>
      <c r="B650" s="1">
        <v>18</v>
      </c>
      <c r="C650" s="1" t="s">
        <v>649</v>
      </c>
    </row>
    <row r="651" spans="1:3" x14ac:dyDescent="0.3">
      <c r="A651" s="1" t="s">
        <v>635</v>
      </c>
      <c r="B651" s="1">
        <v>19</v>
      </c>
      <c r="C651" s="1" t="s">
        <v>650</v>
      </c>
    </row>
    <row r="652" spans="1:3" x14ac:dyDescent="0.3">
      <c r="A652" s="1" t="s">
        <v>635</v>
      </c>
      <c r="B652" s="1">
        <v>20</v>
      </c>
      <c r="C652" s="1" t="s">
        <v>651</v>
      </c>
    </row>
    <row r="653" spans="1:3" x14ac:dyDescent="0.3">
      <c r="A653" s="1" t="s">
        <v>635</v>
      </c>
      <c r="B653" s="1">
        <v>21</v>
      </c>
      <c r="C653" s="1" t="s">
        <v>652</v>
      </c>
    </row>
    <row r="654" spans="1:3" x14ac:dyDescent="0.3">
      <c r="A654" s="1" t="s">
        <v>635</v>
      </c>
      <c r="B654" s="1">
        <v>22</v>
      </c>
      <c r="C654" s="1" t="s">
        <v>653</v>
      </c>
    </row>
    <row r="655" spans="1:3" x14ac:dyDescent="0.3">
      <c r="A655" s="1" t="s">
        <v>635</v>
      </c>
      <c r="B655" s="1">
        <v>23</v>
      </c>
      <c r="C655" s="1" t="s">
        <v>654</v>
      </c>
    </row>
    <row r="656" spans="1:3" x14ac:dyDescent="0.3">
      <c r="A656" s="1" t="s">
        <v>635</v>
      </c>
      <c r="B656" s="1">
        <v>24</v>
      </c>
      <c r="C656" s="1" t="s">
        <v>655</v>
      </c>
    </row>
    <row r="657" spans="1:3" x14ac:dyDescent="0.3">
      <c r="A657" s="1" t="s">
        <v>635</v>
      </c>
      <c r="B657" s="1">
        <v>25</v>
      </c>
      <c r="C657" s="1" t="s">
        <v>656</v>
      </c>
    </row>
    <row r="658" spans="1:3" x14ac:dyDescent="0.3">
      <c r="A658" s="1" t="s">
        <v>635</v>
      </c>
      <c r="B658" s="1">
        <v>26</v>
      </c>
      <c r="C658" s="1" t="s">
        <v>657</v>
      </c>
    </row>
    <row r="659" spans="1:3" x14ac:dyDescent="0.3">
      <c r="A659" s="1" t="s">
        <v>635</v>
      </c>
      <c r="B659" s="1">
        <v>27</v>
      </c>
      <c r="C659" s="1" t="s">
        <v>658</v>
      </c>
    </row>
    <row r="660" spans="1:3" x14ac:dyDescent="0.3">
      <c r="A660" s="1" t="s">
        <v>635</v>
      </c>
      <c r="B660" s="1">
        <v>28</v>
      </c>
      <c r="C660" s="1" t="s">
        <v>659</v>
      </c>
    </row>
    <row r="661" spans="1:3" x14ac:dyDescent="0.3">
      <c r="A661" s="1" t="s">
        <v>635</v>
      </c>
      <c r="B661" s="1">
        <v>29</v>
      </c>
      <c r="C661" s="1" t="s">
        <v>660</v>
      </c>
    </row>
    <row r="662" spans="1:3" x14ac:dyDescent="0.3">
      <c r="A662" s="1" t="s">
        <v>635</v>
      </c>
      <c r="B662" s="1">
        <v>30</v>
      </c>
      <c r="C662" s="1" t="s">
        <v>661</v>
      </c>
    </row>
    <row r="663" spans="1:3" x14ac:dyDescent="0.3">
      <c r="A663" s="1" t="s">
        <v>635</v>
      </c>
      <c r="B663" s="1">
        <v>31</v>
      </c>
      <c r="C663" s="1" t="s">
        <v>662</v>
      </c>
    </row>
    <row r="664" spans="1:3" x14ac:dyDescent="0.3">
      <c r="A664" s="1" t="s">
        <v>635</v>
      </c>
      <c r="B664" s="1">
        <v>32</v>
      </c>
      <c r="C664" s="1" t="s">
        <v>663</v>
      </c>
    </row>
    <row r="665" spans="1:3" x14ac:dyDescent="0.3">
      <c r="A665" s="1" t="s">
        <v>635</v>
      </c>
      <c r="B665" s="1">
        <v>33</v>
      </c>
      <c r="C665" s="1" t="s">
        <v>664</v>
      </c>
    </row>
    <row r="666" spans="1:3" x14ac:dyDescent="0.3">
      <c r="A666" s="1" t="s">
        <v>635</v>
      </c>
      <c r="B666" s="1">
        <v>34</v>
      </c>
      <c r="C666" s="1" t="s">
        <v>665</v>
      </c>
    </row>
    <row r="667" spans="1:3" x14ac:dyDescent="0.3">
      <c r="A667" s="1" t="s">
        <v>635</v>
      </c>
      <c r="B667" s="1">
        <v>35</v>
      </c>
      <c r="C667" s="1" t="s">
        <v>666</v>
      </c>
    </row>
    <row r="668" spans="1:3" x14ac:dyDescent="0.3">
      <c r="A668" s="1" t="s">
        <v>635</v>
      </c>
      <c r="B668" s="1">
        <v>36</v>
      </c>
      <c r="C668" s="1" t="s">
        <v>667</v>
      </c>
    </row>
    <row r="669" spans="1:3" x14ac:dyDescent="0.3">
      <c r="A669" s="1" t="s">
        <v>635</v>
      </c>
      <c r="B669" s="1">
        <v>37</v>
      </c>
      <c r="C669" s="1" t="s">
        <v>668</v>
      </c>
    </row>
    <row r="670" spans="1:3" x14ac:dyDescent="0.3">
      <c r="A670" s="1" t="s">
        <v>635</v>
      </c>
      <c r="B670" s="1">
        <v>38</v>
      </c>
      <c r="C670" s="1" t="s">
        <v>669</v>
      </c>
    </row>
    <row r="671" spans="1:3" x14ac:dyDescent="0.3">
      <c r="A671" s="1" t="s">
        <v>635</v>
      </c>
      <c r="B671" s="1">
        <v>39</v>
      </c>
      <c r="C671" s="1" t="s">
        <v>670</v>
      </c>
    </row>
    <row r="672" spans="1:3" x14ac:dyDescent="0.3">
      <c r="A672" s="1" t="s">
        <v>635</v>
      </c>
      <c r="B672" s="1">
        <v>40</v>
      </c>
      <c r="C672" s="1" t="s">
        <v>570</v>
      </c>
    </row>
    <row r="673" spans="1:3" x14ac:dyDescent="0.3">
      <c r="A673" s="1" t="s">
        <v>635</v>
      </c>
      <c r="B673" s="1">
        <v>41</v>
      </c>
      <c r="C673" s="1" t="s">
        <v>671</v>
      </c>
    </row>
    <row r="674" spans="1:3" x14ac:dyDescent="0.3">
      <c r="A674" s="1" t="s">
        <v>635</v>
      </c>
      <c r="B674" s="1">
        <v>42</v>
      </c>
      <c r="C674" s="1" t="s">
        <v>672</v>
      </c>
    </row>
    <row r="675" spans="1:3" x14ac:dyDescent="0.3">
      <c r="A675" s="1" t="s">
        <v>635</v>
      </c>
      <c r="B675" s="1">
        <v>43</v>
      </c>
      <c r="C675" s="1" t="s">
        <v>673</v>
      </c>
    </row>
    <row r="676" spans="1:3" x14ac:dyDescent="0.3">
      <c r="A676" s="1" t="s">
        <v>635</v>
      </c>
      <c r="B676" s="1">
        <v>44</v>
      </c>
      <c r="C676" s="1" t="s">
        <v>674</v>
      </c>
    </row>
    <row r="677" spans="1:3" x14ac:dyDescent="0.3">
      <c r="A677" s="1" t="s">
        <v>635</v>
      </c>
      <c r="B677" s="1">
        <v>45</v>
      </c>
      <c r="C677" s="1" t="s">
        <v>675</v>
      </c>
    </row>
    <row r="678" spans="1:3" x14ac:dyDescent="0.3">
      <c r="A678" s="1" t="s">
        <v>635</v>
      </c>
      <c r="B678" s="1">
        <v>46</v>
      </c>
      <c r="C678" s="1" t="s">
        <v>676</v>
      </c>
    </row>
    <row r="679" spans="1:3" x14ac:dyDescent="0.3">
      <c r="A679" s="1" t="s">
        <v>635</v>
      </c>
      <c r="B679" s="1">
        <v>47</v>
      </c>
      <c r="C679" s="1" t="s">
        <v>677</v>
      </c>
    </row>
    <row r="680" spans="1:3" x14ac:dyDescent="0.3">
      <c r="A680" s="1" t="s">
        <v>635</v>
      </c>
      <c r="B680" s="1">
        <v>48</v>
      </c>
      <c r="C680" s="1" t="s">
        <v>678</v>
      </c>
    </row>
    <row r="681" spans="1:3" x14ac:dyDescent="0.3">
      <c r="A681" s="1" t="s">
        <v>635</v>
      </c>
      <c r="B681" s="1">
        <v>49</v>
      </c>
      <c r="C681" s="1" t="s">
        <v>679</v>
      </c>
    </row>
    <row r="682" spans="1:3" x14ac:dyDescent="0.3">
      <c r="A682" s="1" t="s">
        <v>635</v>
      </c>
      <c r="B682" s="1">
        <v>50</v>
      </c>
      <c r="C682" s="1" t="s">
        <v>680</v>
      </c>
    </row>
    <row r="683" spans="1:3" x14ac:dyDescent="0.3">
      <c r="A683" s="1" t="s">
        <v>681</v>
      </c>
      <c r="B683" s="1">
        <v>1</v>
      </c>
      <c r="C683" s="1" t="s">
        <v>682</v>
      </c>
    </row>
    <row r="684" spans="1:3" x14ac:dyDescent="0.3">
      <c r="A684" s="1" t="s">
        <v>681</v>
      </c>
      <c r="B684" s="1">
        <v>2</v>
      </c>
      <c r="C684" s="1" t="s">
        <v>683</v>
      </c>
    </row>
    <row r="685" spans="1:3" x14ac:dyDescent="0.3">
      <c r="A685" s="1" t="s">
        <v>681</v>
      </c>
      <c r="B685" s="1">
        <v>3</v>
      </c>
      <c r="C685" s="1" t="s">
        <v>199</v>
      </c>
    </row>
    <row r="686" spans="1:3" x14ac:dyDescent="0.3">
      <c r="A686" s="1" t="s">
        <v>681</v>
      </c>
      <c r="B686" s="1">
        <v>4</v>
      </c>
      <c r="C686" s="1" t="s">
        <v>684</v>
      </c>
    </row>
    <row r="687" spans="1:3" x14ac:dyDescent="0.3">
      <c r="A687" s="1" t="s">
        <v>685</v>
      </c>
      <c r="B687" s="1">
        <v>1</v>
      </c>
      <c r="C687" s="1" t="s">
        <v>686</v>
      </c>
    </row>
    <row r="688" spans="1:3" x14ac:dyDescent="0.3">
      <c r="A688" s="1" t="s">
        <v>685</v>
      </c>
      <c r="B688" s="1">
        <v>2</v>
      </c>
      <c r="C688" s="1" t="s">
        <v>687</v>
      </c>
    </row>
    <row r="689" spans="1:3" x14ac:dyDescent="0.3">
      <c r="A689" s="1" t="s">
        <v>685</v>
      </c>
      <c r="B689" s="1">
        <v>3</v>
      </c>
      <c r="C689" s="1" t="s">
        <v>688</v>
      </c>
    </row>
    <row r="690" spans="1:3" x14ac:dyDescent="0.3">
      <c r="A690" s="1" t="s">
        <v>685</v>
      </c>
      <c r="B690" s="1">
        <v>4</v>
      </c>
      <c r="C690" s="1" t="s">
        <v>689</v>
      </c>
    </row>
    <row r="691" spans="1:3" x14ac:dyDescent="0.3">
      <c r="A691" s="1" t="s">
        <v>685</v>
      </c>
      <c r="B691" s="1">
        <v>5</v>
      </c>
      <c r="C691" s="1" t="s">
        <v>690</v>
      </c>
    </row>
    <row r="692" spans="1:3" x14ac:dyDescent="0.3">
      <c r="A692" s="1" t="s">
        <v>685</v>
      </c>
      <c r="B692" s="1">
        <v>6</v>
      </c>
      <c r="C692" s="1" t="s">
        <v>691</v>
      </c>
    </row>
    <row r="693" spans="1:3" x14ac:dyDescent="0.3">
      <c r="A693" s="1" t="s">
        <v>685</v>
      </c>
      <c r="B693" s="1">
        <v>7</v>
      </c>
      <c r="C693" s="1" t="s">
        <v>692</v>
      </c>
    </row>
    <row r="694" spans="1:3" x14ac:dyDescent="0.3">
      <c r="A694" s="1" t="s">
        <v>693</v>
      </c>
      <c r="B694" s="1">
        <v>1</v>
      </c>
      <c r="C694" s="1" t="s">
        <v>694</v>
      </c>
    </row>
    <row r="695" spans="1:3" x14ac:dyDescent="0.3">
      <c r="A695" s="1" t="s">
        <v>693</v>
      </c>
      <c r="B695" s="1">
        <v>2</v>
      </c>
      <c r="C695" s="1" t="s">
        <v>695</v>
      </c>
    </row>
    <row r="696" spans="1:3" x14ac:dyDescent="0.3">
      <c r="A696" s="1" t="s">
        <v>696</v>
      </c>
      <c r="B696" s="1">
        <v>1</v>
      </c>
      <c r="C696" s="1" t="s">
        <v>697</v>
      </c>
    </row>
    <row r="697" spans="1:3" x14ac:dyDescent="0.3">
      <c r="A697" s="1" t="s">
        <v>696</v>
      </c>
      <c r="B697" s="1">
        <v>2</v>
      </c>
      <c r="C697" s="1" t="s">
        <v>698</v>
      </c>
    </row>
    <row r="698" spans="1:3" x14ac:dyDescent="0.3">
      <c r="A698" s="1" t="s">
        <v>696</v>
      </c>
      <c r="B698" s="1">
        <v>3</v>
      </c>
      <c r="C698" s="1" t="s">
        <v>699</v>
      </c>
    </row>
    <row r="699" spans="1:3" x14ac:dyDescent="0.3">
      <c r="A699" s="1" t="s">
        <v>700</v>
      </c>
      <c r="B699" s="1">
        <v>1</v>
      </c>
      <c r="C699" s="1" t="s">
        <v>701</v>
      </c>
    </row>
    <row r="700" spans="1:3" x14ac:dyDescent="0.3">
      <c r="A700" s="1" t="s">
        <v>700</v>
      </c>
      <c r="B700" s="1">
        <v>2</v>
      </c>
      <c r="C700" s="1" t="s">
        <v>702</v>
      </c>
    </row>
    <row r="701" spans="1:3" x14ac:dyDescent="0.3">
      <c r="A701" s="1" t="s">
        <v>703</v>
      </c>
      <c r="B701" s="1">
        <v>1</v>
      </c>
      <c r="C701" s="1" t="s">
        <v>704</v>
      </c>
    </row>
    <row r="702" spans="1:3" x14ac:dyDescent="0.3">
      <c r="A702" s="1" t="s">
        <v>703</v>
      </c>
      <c r="B702" s="1">
        <v>2</v>
      </c>
      <c r="C702" s="1" t="s">
        <v>705</v>
      </c>
    </row>
    <row r="703" spans="1:3" x14ac:dyDescent="0.3">
      <c r="A703" s="1" t="s">
        <v>703</v>
      </c>
      <c r="B703" s="1">
        <v>3</v>
      </c>
      <c r="C703" s="1" t="s">
        <v>706</v>
      </c>
    </row>
    <row r="704" spans="1:3" x14ac:dyDescent="0.3">
      <c r="A704" s="1" t="s">
        <v>703</v>
      </c>
      <c r="B704" s="1">
        <v>4</v>
      </c>
      <c r="C704" s="1" t="s">
        <v>707</v>
      </c>
    </row>
    <row r="705" spans="1:3" x14ac:dyDescent="0.3">
      <c r="A705" s="1" t="s">
        <v>703</v>
      </c>
      <c r="B705" s="1">
        <v>5</v>
      </c>
      <c r="C705" s="1" t="s">
        <v>708</v>
      </c>
    </row>
    <row r="706" spans="1:3" x14ac:dyDescent="0.3">
      <c r="A706" s="1" t="s">
        <v>703</v>
      </c>
      <c r="B706" s="1">
        <v>6</v>
      </c>
      <c r="C706" s="1" t="s">
        <v>709</v>
      </c>
    </row>
    <row r="707" spans="1:3" x14ac:dyDescent="0.3">
      <c r="A707" s="1" t="s">
        <v>703</v>
      </c>
      <c r="B707" s="1">
        <v>7</v>
      </c>
      <c r="C707" s="1" t="s">
        <v>710</v>
      </c>
    </row>
    <row r="708" spans="1:3" x14ac:dyDescent="0.3">
      <c r="A708" s="1" t="s">
        <v>703</v>
      </c>
      <c r="B708" s="1">
        <v>8</v>
      </c>
      <c r="C708" s="1" t="s">
        <v>711</v>
      </c>
    </row>
    <row r="709" spans="1:3" x14ac:dyDescent="0.3">
      <c r="A709" s="1" t="s">
        <v>703</v>
      </c>
      <c r="B709" s="1">
        <v>9</v>
      </c>
      <c r="C709" s="1" t="s">
        <v>712</v>
      </c>
    </row>
    <row r="710" spans="1:3" x14ac:dyDescent="0.3">
      <c r="A710" s="1" t="s">
        <v>703</v>
      </c>
      <c r="B710" s="1">
        <v>10</v>
      </c>
      <c r="C710" s="1" t="s">
        <v>713</v>
      </c>
    </row>
    <row r="711" spans="1:3" x14ac:dyDescent="0.3">
      <c r="A711" s="1" t="s">
        <v>703</v>
      </c>
      <c r="B711" s="1">
        <v>11</v>
      </c>
      <c r="C711" s="1" t="s">
        <v>714</v>
      </c>
    </row>
    <row r="712" spans="1:3" x14ac:dyDescent="0.3">
      <c r="A712" s="1" t="s">
        <v>703</v>
      </c>
      <c r="B712" s="1">
        <v>12</v>
      </c>
      <c r="C712" s="1" t="s">
        <v>715</v>
      </c>
    </row>
    <row r="713" spans="1:3" x14ac:dyDescent="0.3">
      <c r="A713" s="1" t="s">
        <v>703</v>
      </c>
      <c r="B713" s="1">
        <v>13</v>
      </c>
      <c r="C713" s="1" t="s">
        <v>513</v>
      </c>
    </row>
    <row r="714" spans="1:3" x14ac:dyDescent="0.3">
      <c r="A714" s="1" t="s">
        <v>703</v>
      </c>
      <c r="B714" s="1">
        <v>14</v>
      </c>
      <c r="C714" s="1" t="s">
        <v>514</v>
      </c>
    </row>
    <row r="715" spans="1:3" x14ac:dyDescent="0.3">
      <c r="A715" s="1" t="s">
        <v>703</v>
      </c>
      <c r="B715" s="1">
        <v>15</v>
      </c>
      <c r="C715" s="1" t="s">
        <v>520</v>
      </c>
    </row>
    <row r="716" spans="1:3" x14ac:dyDescent="0.3">
      <c r="A716" s="1" t="s">
        <v>703</v>
      </c>
      <c r="B716" s="1">
        <v>16</v>
      </c>
      <c r="C716" s="1" t="s">
        <v>521</v>
      </c>
    </row>
    <row r="717" spans="1:3" x14ac:dyDescent="0.3">
      <c r="A717" s="1" t="s">
        <v>703</v>
      </c>
      <c r="B717" s="1">
        <v>17</v>
      </c>
      <c r="C717" s="1" t="s">
        <v>522</v>
      </c>
    </row>
    <row r="718" spans="1:3" x14ac:dyDescent="0.3">
      <c r="A718" s="1" t="s">
        <v>703</v>
      </c>
      <c r="B718" s="1">
        <v>18</v>
      </c>
      <c r="C718" s="1" t="s">
        <v>523</v>
      </c>
    </row>
    <row r="719" spans="1:3" x14ac:dyDescent="0.3">
      <c r="A719" s="1" t="s">
        <v>703</v>
      </c>
      <c r="B719" s="1">
        <v>19</v>
      </c>
      <c r="C719" s="1" t="s">
        <v>524</v>
      </c>
    </row>
    <row r="720" spans="1:3" x14ac:dyDescent="0.3">
      <c r="A720" s="1" t="s">
        <v>703</v>
      </c>
      <c r="B720" s="1">
        <v>20</v>
      </c>
      <c r="C720" s="1" t="s">
        <v>525</v>
      </c>
    </row>
    <row r="721" spans="1:3" x14ac:dyDescent="0.3">
      <c r="A721" s="1" t="s">
        <v>703</v>
      </c>
      <c r="B721" s="1">
        <v>21</v>
      </c>
      <c r="C721" s="1" t="s">
        <v>526</v>
      </c>
    </row>
    <row r="722" spans="1:3" x14ac:dyDescent="0.3">
      <c r="A722" s="1" t="s">
        <v>703</v>
      </c>
      <c r="B722" s="1">
        <v>22</v>
      </c>
      <c r="C722" s="1" t="s">
        <v>527</v>
      </c>
    </row>
    <row r="723" spans="1:3" x14ac:dyDescent="0.3">
      <c r="A723" s="1" t="s">
        <v>703</v>
      </c>
      <c r="B723" s="1">
        <v>23</v>
      </c>
      <c r="C723" s="1" t="s">
        <v>528</v>
      </c>
    </row>
    <row r="724" spans="1:3" x14ac:dyDescent="0.3">
      <c r="A724" s="1" t="s">
        <v>703</v>
      </c>
      <c r="B724" s="1">
        <v>24</v>
      </c>
      <c r="C724" s="1" t="s">
        <v>529</v>
      </c>
    </row>
    <row r="725" spans="1:3" x14ac:dyDescent="0.3">
      <c r="A725" s="1" t="s">
        <v>703</v>
      </c>
      <c r="B725" s="1">
        <v>25</v>
      </c>
      <c r="C725" s="1" t="s">
        <v>530</v>
      </c>
    </row>
    <row r="726" spans="1:3" x14ac:dyDescent="0.3">
      <c r="A726" s="1" t="s">
        <v>703</v>
      </c>
      <c r="B726" s="1">
        <v>26</v>
      </c>
      <c r="C726" s="1" t="s">
        <v>531</v>
      </c>
    </row>
    <row r="727" spans="1:3" x14ac:dyDescent="0.3">
      <c r="A727" s="1" t="s">
        <v>703</v>
      </c>
      <c r="B727" s="1">
        <v>27</v>
      </c>
      <c r="C727" s="1" t="s">
        <v>532</v>
      </c>
    </row>
    <row r="728" spans="1:3" x14ac:dyDescent="0.3">
      <c r="A728" s="1" t="s">
        <v>703</v>
      </c>
      <c r="B728" s="1">
        <v>28</v>
      </c>
      <c r="C728" s="1" t="s">
        <v>533</v>
      </c>
    </row>
    <row r="729" spans="1:3" x14ac:dyDescent="0.3">
      <c r="A729" s="1" t="s">
        <v>703</v>
      </c>
      <c r="B729" s="1">
        <v>29</v>
      </c>
      <c r="C729" s="1" t="s">
        <v>534</v>
      </c>
    </row>
    <row r="730" spans="1:3" x14ac:dyDescent="0.3">
      <c r="A730" s="1" t="s">
        <v>703</v>
      </c>
      <c r="B730" s="1">
        <v>30</v>
      </c>
      <c r="C730" s="1" t="s">
        <v>535</v>
      </c>
    </row>
    <row r="731" spans="1:3" x14ac:dyDescent="0.3">
      <c r="A731" s="1" t="s">
        <v>703</v>
      </c>
      <c r="B731" s="1">
        <v>31</v>
      </c>
      <c r="C731" s="1" t="s">
        <v>536</v>
      </c>
    </row>
    <row r="732" spans="1:3" x14ac:dyDescent="0.3">
      <c r="A732" s="1" t="s">
        <v>703</v>
      </c>
      <c r="B732" s="1">
        <v>32</v>
      </c>
      <c r="C732" s="1" t="s">
        <v>537</v>
      </c>
    </row>
    <row r="733" spans="1:3" x14ac:dyDescent="0.3">
      <c r="A733" s="1" t="s">
        <v>703</v>
      </c>
      <c r="B733" s="1">
        <v>33</v>
      </c>
      <c r="C733" s="1" t="s">
        <v>538</v>
      </c>
    </row>
    <row r="734" spans="1:3" x14ac:dyDescent="0.3">
      <c r="A734" s="1" t="s">
        <v>703</v>
      </c>
      <c r="B734" s="1">
        <v>34</v>
      </c>
      <c r="C734" s="1" t="s">
        <v>539</v>
      </c>
    </row>
    <row r="735" spans="1:3" x14ac:dyDescent="0.3">
      <c r="A735" s="1" t="s">
        <v>703</v>
      </c>
      <c r="B735" s="1">
        <v>35</v>
      </c>
      <c r="C735" s="1" t="s">
        <v>540</v>
      </c>
    </row>
    <row r="736" spans="1:3" x14ac:dyDescent="0.3">
      <c r="A736" s="1" t="s">
        <v>703</v>
      </c>
      <c r="B736" s="1">
        <v>36</v>
      </c>
      <c r="C736" s="1" t="s">
        <v>541</v>
      </c>
    </row>
    <row r="737" spans="1:3" x14ac:dyDescent="0.3">
      <c r="A737" s="1" t="s">
        <v>703</v>
      </c>
      <c r="B737" s="1">
        <v>37</v>
      </c>
      <c r="C737" s="1" t="s">
        <v>542</v>
      </c>
    </row>
    <row r="738" spans="1:3" x14ac:dyDescent="0.3">
      <c r="A738" s="1" t="s">
        <v>703</v>
      </c>
      <c r="B738" s="1">
        <v>38</v>
      </c>
      <c r="C738" s="1" t="s">
        <v>543</v>
      </c>
    </row>
    <row r="739" spans="1:3" x14ac:dyDescent="0.3">
      <c r="A739" s="1" t="s">
        <v>703</v>
      </c>
      <c r="B739" s="1">
        <v>39</v>
      </c>
      <c r="C739" s="1" t="s">
        <v>544</v>
      </c>
    </row>
    <row r="740" spans="1:3" x14ac:dyDescent="0.3">
      <c r="A740" s="1" t="s">
        <v>703</v>
      </c>
      <c r="B740" s="1">
        <v>40</v>
      </c>
      <c r="C740" s="1" t="s">
        <v>545</v>
      </c>
    </row>
    <row r="741" spans="1:3" x14ac:dyDescent="0.3">
      <c r="A741" s="1" t="s">
        <v>703</v>
      </c>
      <c r="B741" s="1">
        <v>41</v>
      </c>
      <c r="C741" s="1" t="s">
        <v>546</v>
      </c>
    </row>
    <row r="742" spans="1:3" x14ac:dyDescent="0.3">
      <c r="A742" s="1" t="s">
        <v>703</v>
      </c>
      <c r="B742" s="1">
        <v>42</v>
      </c>
      <c r="C742" s="1" t="s">
        <v>547</v>
      </c>
    </row>
    <row r="743" spans="1:3" x14ac:dyDescent="0.3">
      <c r="A743" s="1" t="s">
        <v>703</v>
      </c>
      <c r="B743" s="1">
        <v>43</v>
      </c>
      <c r="C743" s="1" t="s">
        <v>548</v>
      </c>
    </row>
    <row r="744" spans="1:3" x14ac:dyDescent="0.3">
      <c r="A744" s="1" t="s">
        <v>703</v>
      </c>
      <c r="B744" s="1">
        <v>44</v>
      </c>
      <c r="C744" s="1" t="s">
        <v>549</v>
      </c>
    </row>
    <row r="745" spans="1:3" x14ac:dyDescent="0.3">
      <c r="A745" s="1" t="s">
        <v>703</v>
      </c>
      <c r="B745" s="1">
        <v>45</v>
      </c>
      <c r="C745" s="1" t="s">
        <v>550</v>
      </c>
    </row>
    <row r="746" spans="1:3" x14ac:dyDescent="0.3">
      <c r="A746" s="1" t="s">
        <v>703</v>
      </c>
      <c r="B746" s="1">
        <v>46</v>
      </c>
      <c r="C746" s="1" t="s">
        <v>551</v>
      </c>
    </row>
    <row r="747" spans="1:3" x14ac:dyDescent="0.3">
      <c r="A747" s="1" t="s">
        <v>703</v>
      </c>
      <c r="B747" s="1">
        <v>47</v>
      </c>
      <c r="C747" s="1" t="s">
        <v>552</v>
      </c>
    </row>
    <row r="748" spans="1:3" x14ac:dyDescent="0.3">
      <c r="A748" s="1" t="s">
        <v>703</v>
      </c>
      <c r="B748" s="1">
        <v>48</v>
      </c>
      <c r="C748" s="1" t="s">
        <v>553</v>
      </c>
    </row>
    <row r="749" spans="1:3" x14ac:dyDescent="0.3">
      <c r="A749" s="1" t="s">
        <v>703</v>
      </c>
      <c r="B749" s="1">
        <v>49</v>
      </c>
      <c r="C749" s="1" t="s">
        <v>554</v>
      </c>
    </row>
    <row r="750" spans="1:3" x14ac:dyDescent="0.3">
      <c r="A750" s="1" t="s">
        <v>703</v>
      </c>
      <c r="B750" s="1">
        <v>50</v>
      </c>
      <c r="C750" s="1" t="s">
        <v>555</v>
      </c>
    </row>
    <row r="751" spans="1:3" x14ac:dyDescent="0.3">
      <c r="A751" s="1" t="s">
        <v>703</v>
      </c>
      <c r="B751" s="1">
        <v>51</v>
      </c>
      <c r="C751" s="1" t="s">
        <v>556</v>
      </c>
    </row>
    <row r="752" spans="1:3" x14ac:dyDescent="0.3">
      <c r="A752" s="1" t="s">
        <v>703</v>
      </c>
      <c r="B752" s="1">
        <v>52</v>
      </c>
      <c r="C752" s="1" t="s">
        <v>557</v>
      </c>
    </row>
    <row r="753" spans="1:3" x14ac:dyDescent="0.3">
      <c r="A753" s="1" t="s">
        <v>703</v>
      </c>
      <c r="B753" s="1">
        <v>53</v>
      </c>
      <c r="C753" s="1" t="s">
        <v>558</v>
      </c>
    </row>
    <row r="754" spans="1:3" x14ac:dyDescent="0.3">
      <c r="A754" s="1" t="s">
        <v>703</v>
      </c>
      <c r="B754" s="1">
        <v>54</v>
      </c>
      <c r="C754" s="1" t="s">
        <v>559</v>
      </c>
    </row>
    <row r="755" spans="1:3" x14ac:dyDescent="0.3">
      <c r="A755" s="1" t="s">
        <v>703</v>
      </c>
      <c r="B755" s="1">
        <v>55</v>
      </c>
      <c r="C755" s="1" t="s">
        <v>560</v>
      </c>
    </row>
    <row r="756" spans="1:3" x14ac:dyDescent="0.3">
      <c r="A756" s="1" t="s">
        <v>703</v>
      </c>
      <c r="B756" s="1">
        <v>56</v>
      </c>
      <c r="C756" s="1" t="s">
        <v>561</v>
      </c>
    </row>
    <row r="757" spans="1:3" x14ac:dyDescent="0.3">
      <c r="A757" s="1" t="s">
        <v>703</v>
      </c>
      <c r="B757" s="1">
        <v>57</v>
      </c>
      <c r="C757" s="1" t="s">
        <v>562</v>
      </c>
    </row>
    <row r="758" spans="1:3" x14ac:dyDescent="0.3">
      <c r="A758" s="1" t="s">
        <v>703</v>
      </c>
      <c r="B758" s="1">
        <v>58</v>
      </c>
      <c r="C758" s="1" t="s">
        <v>716</v>
      </c>
    </row>
    <row r="759" spans="1:3" x14ac:dyDescent="0.3">
      <c r="A759" s="1" t="s">
        <v>703</v>
      </c>
      <c r="B759" s="1">
        <v>59</v>
      </c>
      <c r="C759" s="1" t="s">
        <v>717</v>
      </c>
    </row>
    <row r="760" spans="1:3" x14ac:dyDescent="0.3">
      <c r="A760" s="1" t="s">
        <v>703</v>
      </c>
      <c r="B760" s="1">
        <v>60</v>
      </c>
      <c r="C760" s="1" t="s">
        <v>718</v>
      </c>
    </row>
    <row r="761" spans="1:3" x14ac:dyDescent="0.3">
      <c r="A761" s="1" t="s">
        <v>703</v>
      </c>
      <c r="B761" s="1">
        <v>61</v>
      </c>
      <c r="C761" s="1" t="s">
        <v>719</v>
      </c>
    </row>
    <row r="762" spans="1:3" x14ac:dyDescent="0.3">
      <c r="A762" s="1" t="s">
        <v>703</v>
      </c>
      <c r="B762" s="1">
        <v>62</v>
      </c>
      <c r="C762" s="1" t="s">
        <v>720</v>
      </c>
    </row>
    <row r="763" spans="1:3" x14ac:dyDescent="0.3">
      <c r="A763" s="1" t="s">
        <v>703</v>
      </c>
      <c r="B763" s="1">
        <v>63</v>
      </c>
      <c r="C763" s="1" t="s">
        <v>721</v>
      </c>
    </row>
    <row r="764" spans="1:3" x14ac:dyDescent="0.3">
      <c r="A764" s="1" t="s">
        <v>703</v>
      </c>
      <c r="B764" s="1">
        <v>64</v>
      </c>
      <c r="C764" s="1" t="s">
        <v>722</v>
      </c>
    </row>
    <row r="765" spans="1:3" x14ac:dyDescent="0.3">
      <c r="A765" s="1" t="s">
        <v>703</v>
      </c>
      <c r="B765" s="1">
        <v>65</v>
      </c>
      <c r="C765" s="1" t="s">
        <v>723</v>
      </c>
    </row>
    <row r="766" spans="1:3" x14ac:dyDescent="0.3">
      <c r="A766" s="1" t="s">
        <v>703</v>
      </c>
      <c r="B766" s="1">
        <v>66</v>
      </c>
      <c r="C766" s="1" t="s">
        <v>724</v>
      </c>
    </row>
    <row r="767" spans="1:3" x14ac:dyDescent="0.3">
      <c r="A767" s="1" t="s">
        <v>703</v>
      </c>
      <c r="B767" s="1">
        <v>67</v>
      </c>
      <c r="C767" s="1" t="s">
        <v>725</v>
      </c>
    </row>
    <row r="768" spans="1:3" x14ac:dyDescent="0.3">
      <c r="A768" s="1" t="s">
        <v>703</v>
      </c>
      <c r="B768" s="1">
        <v>68</v>
      </c>
      <c r="C768" s="1" t="s">
        <v>726</v>
      </c>
    </row>
    <row r="769" spans="1:3" x14ac:dyDescent="0.3">
      <c r="A769" s="1" t="s">
        <v>703</v>
      </c>
      <c r="B769" s="1">
        <v>69</v>
      </c>
      <c r="C769" s="1" t="s">
        <v>727</v>
      </c>
    </row>
    <row r="770" spans="1:3" x14ac:dyDescent="0.3">
      <c r="A770" s="1" t="s">
        <v>703</v>
      </c>
      <c r="B770" s="1">
        <v>70</v>
      </c>
      <c r="C770" s="1" t="s">
        <v>728</v>
      </c>
    </row>
    <row r="771" spans="1:3" x14ac:dyDescent="0.3">
      <c r="A771" s="1" t="s">
        <v>703</v>
      </c>
      <c r="B771" s="1">
        <v>71</v>
      </c>
      <c r="C771" s="1" t="s">
        <v>729</v>
      </c>
    </row>
    <row r="772" spans="1:3" x14ac:dyDescent="0.3">
      <c r="A772" s="1" t="s">
        <v>703</v>
      </c>
      <c r="B772" s="1">
        <v>72</v>
      </c>
      <c r="C772" s="1" t="s">
        <v>572</v>
      </c>
    </row>
    <row r="773" spans="1:3" x14ac:dyDescent="0.3">
      <c r="A773" s="1" t="s">
        <v>703</v>
      </c>
      <c r="B773" s="1">
        <v>73</v>
      </c>
      <c r="C773" s="1" t="s">
        <v>573</v>
      </c>
    </row>
    <row r="774" spans="1:3" x14ac:dyDescent="0.3">
      <c r="A774" s="1" t="s">
        <v>703</v>
      </c>
      <c r="B774" s="1">
        <v>74</v>
      </c>
      <c r="C774" s="1" t="s">
        <v>574</v>
      </c>
    </row>
    <row r="775" spans="1:3" x14ac:dyDescent="0.3">
      <c r="A775" s="1" t="s">
        <v>703</v>
      </c>
      <c r="B775" s="1">
        <v>75</v>
      </c>
      <c r="C775" s="1" t="s">
        <v>575</v>
      </c>
    </row>
    <row r="776" spans="1:3" x14ac:dyDescent="0.3">
      <c r="A776" s="1" t="s">
        <v>703</v>
      </c>
      <c r="B776" s="1">
        <v>76</v>
      </c>
      <c r="C776" s="1" t="s">
        <v>576</v>
      </c>
    </row>
    <row r="777" spans="1:3" x14ac:dyDescent="0.3">
      <c r="A777" s="1" t="s">
        <v>703</v>
      </c>
      <c r="B777" s="1">
        <v>77</v>
      </c>
      <c r="C777" s="1" t="s">
        <v>577</v>
      </c>
    </row>
    <row r="778" spans="1:3" x14ac:dyDescent="0.3">
      <c r="A778" s="1" t="s">
        <v>703</v>
      </c>
      <c r="B778" s="1">
        <v>78</v>
      </c>
      <c r="C778" s="1" t="s">
        <v>578</v>
      </c>
    </row>
    <row r="779" spans="1:3" x14ac:dyDescent="0.3">
      <c r="A779" s="1" t="s">
        <v>703</v>
      </c>
      <c r="B779" s="1">
        <v>79</v>
      </c>
      <c r="C779" s="1" t="s">
        <v>579</v>
      </c>
    </row>
    <row r="780" spans="1:3" x14ac:dyDescent="0.3">
      <c r="A780" s="1" t="s">
        <v>703</v>
      </c>
      <c r="B780" s="1">
        <v>80</v>
      </c>
      <c r="C780" s="1" t="s">
        <v>580</v>
      </c>
    </row>
    <row r="781" spans="1:3" x14ac:dyDescent="0.3">
      <c r="A781" s="1" t="s">
        <v>703</v>
      </c>
      <c r="B781" s="1">
        <v>81</v>
      </c>
      <c r="C781" s="1" t="s">
        <v>581</v>
      </c>
    </row>
    <row r="782" spans="1:3" x14ac:dyDescent="0.3">
      <c r="A782" s="1" t="s">
        <v>703</v>
      </c>
      <c r="B782" s="1">
        <v>82</v>
      </c>
      <c r="C782" s="1" t="s">
        <v>439</v>
      </c>
    </row>
    <row r="783" spans="1:3" x14ac:dyDescent="0.3">
      <c r="A783" s="1" t="s">
        <v>703</v>
      </c>
      <c r="B783" s="1">
        <v>83</v>
      </c>
      <c r="C783" s="1" t="s">
        <v>440</v>
      </c>
    </row>
    <row r="784" spans="1:3" x14ac:dyDescent="0.3">
      <c r="A784" s="1" t="s">
        <v>703</v>
      </c>
      <c r="B784" s="1">
        <v>84</v>
      </c>
      <c r="C784" s="1" t="s">
        <v>582</v>
      </c>
    </row>
    <row r="785" spans="1:3" x14ac:dyDescent="0.3">
      <c r="A785" s="1" t="s">
        <v>703</v>
      </c>
      <c r="B785" s="1">
        <v>85</v>
      </c>
      <c r="C785" s="1" t="s">
        <v>583</v>
      </c>
    </row>
    <row r="786" spans="1:3" x14ac:dyDescent="0.3">
      <c r="A786" s="1" t="s">
        <v>703</v>
      </c>
      <c r="B786" s="1">
        <v>86</v>
      </c>
      <c r="C786" s="1" t="s">
        <v>584</v>
      </c>
    </row>
    <row r="787" spans="1:3" x14ac:dyDescent="0.3">
      <c r="A787" s="1" t="s">
        <v>703</v>
      </c>
      <c r="B787" s="1">
        <v>87</v>
      </c>
      <c r="C787" s="1" t="s">
        <v>585</v>
      </c>
    </row>
    <row r="788" spans="1:3" x14ac:dyDescent="0.3">
      <c r="A788" s="1" t="s">
        <v>703</v>
      </c>
      <c r="B788" s="1">
        <v>88</v>
      </c>
      <c r="C788" s="1" t="s">
        <v>586</v>
      </c>
    </row>
    <row r="789" spans="1:3" x14ac:dyDescent="0.3">
      <c r="A789" s="1" t="s">
        <v>703</v>
      </c>
      <c r="B789" s="1">
        <v>89</v>
      </c>
      <c r="C789" s="1" t="s">
        <v>587</v>
      </c>
    </row>
    <row r="790" spans="1:3" x14ac:dyDescent="0.3">
      <c r="A790" s="1" t="s">
        <v>703</v>
      </c>
      <c r="B790" s="1">
        <v>90</v>
      </c>
      <c r="C790" s="1" t="s">
        <v>588</v>
      </c>
    </row>
    <row r="791" spans="1:3" x14ac:dyDescent="0.3">
      <c r="A791" s="1" t="s">
        <v>703</v>
      </c>
      <c r="B791" s="1">
        <v>91</v>
      </c>
      <c r="C791" s="1" t="s">
        <v>589</v>
      </c>
    </row>
    <row r="792" spans="1:3" x14ac:dyDescent="0.3">
      <c r="A792" s="1" t="s">
        <v>703</v>
      </c>
      <c r="B792" s="1">
        <v>92</v>
      </c>
      <c r="C792" s="1" t="s">
        <v>590</v>
      </c>
    </row>
    <row r="793" spans="1:3" x14ac:dyDescent="0.3">
      <c r="A793" s="1" t="s">
        <v>703</v>
      </c>
      <c r="B793" s="1">
        <v>93</v>
      </c>
      <c r="C793" s="1" t="s">
        <v>591</v>
      </c>
    </row>
    <row r="794" spans="1:3" x14ac:dyDescent="0.3">
      <c r="A794" s="1" t="s">
        <v>703</v>
      </c>
      <c r="B794" s="1">
        <v>94</v>
      </c>
      <c r="C794" s="1" t="s">
        <v>592</v>
      </c>
    </row>
    <row r="795" spans="1:3" x14ac:dyDescent="0.3">
      <c r="A795" s="1" t="s">
        <v>703</v>
      </c>
      <c r="B795" s="1">
        <v>95</v>
      </c>
      <c r="C795" s="1" t="s">
        <v>593</v>
      </c>
    </row>
    <row r="796" spans="1:3" x14ac:dyDescent="0.3">
      <c r="A796" s="1" t="s">
        <v>703</v>
      </c>
      <c r="B796" s="1">
        <v>96</v>
      </c>
      <c r="C796" s="1" t="s">
        <v>594</v>
      </c>
    </row>
    <row r="797" spans="1:3" x14ac:dyDescent="0.3">
      <c r="A797" s="1" t="s">
        <v>703</v>
      </c>
      <c r="B797" s="1">
        <v>97</v>
      </c>
      <c r="C797" s="1" t="s">
        <v>595</v>
      </c>
    </row>
    <row r="798" spans="1:3" x14ac:dyDescent="0.3">
      <c r="A798" s="1" t="s">
        <v>703</v>
      </c>
      <c r="B798" s="1">
        <v>98</v>
      </c>
      <c r="C798" s="1" t="s">
        <v>596</v>
      </c>
    </row>
    <row r="799" spans="1:3" x14ac:dyDescent="0.3">
      <c r="A799" s="1" t="s">
        <v>703</v>
      </c>
      <c r="B799" s="1">
        <v>99</v>
      </c>
      <c r="C799" s="1" t="s">
        <v>597</v>
      </c>
    </row>
    <row r="800" spans="1:3" x14ac:dyDescent="0.3">
      <c r="A800" s="1" t="s">
        <v>703</v>
      </c>
      <c r="B800" s="1">
        <v>100</v>
      </c>
      <c r="C800" s="1" t="s">
        <v>598</v>
      </c>
    </row>
    <row r="801" spans="1:3" x14ac:dyDescent="0.3">
      <c r="A801" s="1" t="s">
        <v>703</v>
      </c>
      <c r="B801" s="1">
        <v>101</v>
      </c>
      <c r="C801" s="1" t="s">
        <v>599</v>
      </c>
    </row>
    <row r="802" spans="1:3" x14ac:dyDescent="0.3">
      <c r="A802" s="1" t="s">
        <v>703</v>
      </c>
      <c r="B802" s="1">
        <v>102</v>
      </c>
      <c r="C802" s="1" t="s">
        <v>600</v>
      </c>
    </row>
    <row r="803" spans="1:3" x14ac:dyDescent="0.3">
      <c r="A803" s="1" t="s">
        <v>703</v>
      </c>
      <c r="B803" s="1">
        <v>103</v>
      </c>
      <c r="C803" s="1" t="s">
        <v>601</v>
      </c>
    </row>
    <row r="804" spans="1:3" x14ac:dyDescent="0.3">
      <c r="A804" s="1" t="s">
        <v>703</v>
      </c>
      <c r="B804" s="1">
        <v>104</v>
      </c>
      <c r="C804" s="1" t="s">
        <v>602</v>
      </c>
    </row>
    <row r="805" spans="1:3" x14ac:dyDescent="0.3">
      <c r="A805" s="1" t="s">
        <v>703</v>
      </c>
      <c r="B805" s="1">
        <v>105</v>
      </c>
      <c r="C805" s="1" t="s">
        <v>730</v>
      </c>
    </row>
    <row r="806" spans="1:3" x14ac:dyDescent="0.3">
      <c r="A806" s="1" t="s">
        <v>703</v>
      </c>
      <c r="B806" s="1">
        <v>106</v>
      </c>
      <c r="C806" s="1" t="s">
        <v>731</v>
      </c>
    </row>
    <row r="807" spans="1:3" x14ac:dyDescent="0.3">
      <c r="A807" s="1" t="s">
        <v>703</v>
      </c>
      <c r="B807" s="1">
        <v>107</v>
      </c>
      <c r="C807" s="1" t="s">
        <v>732</v>
      </c>
    </row>
    <row r="808" spans="1:3" x14ac:dyDescent="0.3">
      <c r="A808" s="1" t="s">
        <v>703</v>
      </c>
      <c r="B808" s="1">
        <v>108</v>
      </c>
      <c r="C808" s="1" t="s">
        <v>733</v>
      </c>
    </row>
    <row r="809" spans="1:3" x14ac:dyDescent="0.3">
      <c r="A809" s="1" t="s">
        <v>703</v>
      </c>
      <c r="B809" s="1">
        <v>109</v>
      </c>
      <c r="C809" s="1" t="s">
        <v>734</v>
      </c>
    </row>
    <row r="810" spans="1:3" x14ac:dyDescent="0.3">
      <c r="A810" s="1" t="s">
        <v>703</v>
      </c>
      <c r="B810" s="1">
        <v>110</v>
      </c>
      <c r="C810" s="1" t="s">
        <v>735</v>
      </c>
    </row>
    <row r="811" spans="1:3" x14ac:dyDescent="0.3">
      <c r="A811" s="1" t="s">
        <v>703</v>
      </c>
      <c r="B811" s="1">
        <v>111</v>
      </c>
      <c r="C811" s="1" t="s">
        <v>736</v>
      </c>
    </row>
    <row r="812" spans="1:3" x14ac:dyDescent="0.3">
      <c r="A812" s="1" t="s">
        <v>703</v>
      </c>
      <c r="B812" s="1">
        <v>112</v>
      </c>
      <c r="C812" s="1" t="s">
        <v>737</v>
      </c>
    </row>
    <row r="813" spans="1:3" x14ac:dyDescent="0.3">
      <c r="A813" s="1" t="s">
        <v>703</v>
      </c>
      <c r="B813" s="1">
        <v>113</v>
      </c>
      <c r="C813" s="1" t="s">
        <v>738</v>
      </c>
    </row>
    <row r="814" spans="1:3" x14ac:dyDescent="0.3">
      <c r="A814" s="1" t="s">
        <v>703</v>
      </c>
      <c r="B814" s="1">
        <v>114</v>
      </c>
      <c r="C814" s="1" t="s">
        <v>739</v>
      </c>
    </row>
    <row r="815" spans="1:3" x14ac:dyDescent="0.3">
      <c r="A815" s="1" t="s">
        <v>703</v>
      </c>
      <c r="B815" s="1">
        <v>115</v>
      </c>
      <c r="C815" s="1" t="s">
        <v>603</v>
      </c>
    </row>
    <row r="816" spans="1:3" x14ac:dyDescent="0.3">
      <c r="A816" s="1" t="s">
        <v>703</v>
      </c>
      <c r="B816" s="1">
        <v>116</v>
      </c>
      <c r="C816" s="1" t="s">
        <v>604</v>
      </c>
    </row>
    <row r="817" spans="1:3" x14ac:dyDescent="0.3">
      <c r="A817" s="1" t="s">
        <v>703</v>
      </c>
      <c r="B817" s="1">
        <v>117</v>
      </c>
      <c r="C817" s="1" t="s">
        <v>740</v>
      </c>
    </row>
    <row r="818" spans="1:3" x14ac:dyDescent="0.3">
      <c r="A818" s="1" t="s">
        <v>703</v>
      </c>
      <c r="B818" s="1">
        <v>118</v>
      </c>
      <c r="C818" s="1" t="s">
        <v>571</v>
      </c>
    </row>
    <row r="819" spans="1:3" x14ac:dyDescent="0.3">
      <c r="A819" s="1" t="s">
        <v>703</v>
      </c>
      <c r="B819" s="1">
        <v>119</v>
      </c>
      <c r="C819" s="1" t="s">
        <v>605</v>
      </c>
    </row>
    <row r="820" spans="1:3" x14ac:dyDescent="0.3">
      <c r="A820" s="1" t="s">
        <v>703</v>
      </c>
      <c r="B820" s="1">
        <v>120</v>
      </c>
      <c r="C820" s="1" t="s">
        <v>611</v>
      </c>
    </row>
    <row r="821" spans="1:3" x14ac:dyDescent="0.3">
      <c r="A821" s="1" t="s">
        <v>703</v>
      </c>
      <c r="B821" s="1">
        <v>121</v>
      </c>
      <c r="C821" s="1" t="s">
        <v>612</v>
      </c>
    </row>
    <row r="822" spans="1:3" x14ac:dyDescent="0.3">
      <c r="A822" s="1" t="s">
        <v>703</v>
      </c>
      <c r="B822" s="1">
        <v>122</v>
      </c>
      <c r="C822" s="1" t="s">
        <v>613</v>
      </c>
    </row>
    <row r="823" spans="1:3" x14ac:dyDescent="0.3">
      <c r="A823" s="1" t="s">
        <v>703</v>
      </c>
      <c r="B823" s="1">
        <v>123</v>
      </c>
      <c r="C823" s="1" t="s">
        <v>614</v>
      </c>
    </row>
    <row r="824" spans="1:3" x14ac:dyDescent="0.3">
      <c r="A824" s="1" t="s">
        <v>703</v>
      </c>
      <c r="B824" s="1">
        <v>124</v>
      </c>
      <c r="C824" s="1" t="s">
        <v>615</v>
      </c>
    </row>
    <row r="825" spans="1:3" x14ac:dyDescent="0.3">
      <c r="A825" s="1" t="s">
        <v>703</v>
      </c>
      <c r="B825" s="1">
        <v>125</v>
      </c>
      <c r="C825" s="1" t="s">
        <v>616</v>
      </c>
    </row>
    <row r="826" spans="1:3" x14ac:dyDescent="0.3">
      <c r="A826" s="1" t="s">
        <v>703</v>
      </c>
      <c r="B826" s="1">
        <v>126</v>
      </c>
      <c r="C826" s="1" t="s">
        <v>617</v>
      </c>
    </row>
    <row r="827" spans="1:3" x14ac:dyDescent="0.3">
      <c r="A827" s="1" t="s">
        <v>703</v>
      </c>
      <c r="B827" s="1">
        <v>127</v>
      </c>
      <c r="C827" s="1" t="s">
        <v>618</v>
      </c>
    </row>
    <row r="828" spans="1:3" x14ac:dyDescent="0.3">
      <c r="A828" s="1" t="s">
        <v>703</v>
      </c>
      <c r="B828" s="1">
        <v>128</v>
      </c>
      <c r="C828" s="1" t="s">
        <v>619</v>
      </c>
    </row>
    <row r="829" spans="1:3" x14ac:dyDescent="0.3">
      <c r="A829" s="1" t="s">
        <v>703</v>
      </c>
      <c r="B829" s="1">
        <v>129</v>
      </c>
      <c r="C829" s="1" t="s">
        <v>620</v>
      </c>
    </row>
    <row r="830" spans="1:3" x14ac:dyDescent="0.3">
      <c r="A830" s="1" t="s">
        <v>703</v>
      </c>
      <c r="B830" s="1">
        <v>130</v>
      </c>
      <c r="C830" s="1" t="s">
        <v>621</v>
      </c>
    </row>
    <row r="831" spans="1:3" x14ac:dyDescent="0.3">
      <c r="A831" s="1" t="s">
        <v>703</v>
      </c>
      <c r="B831" s="1">
        <v>131</v>
      </c>
      <c r="C831" s="1" t="s">
        <v>622</v>
      </c>
    </row>
    <row r="832" spans="1:3" x14ac:dyDescent="0.3">
      <c r="A832" s="1" t="s">
        <v>703</v>
      </c>
      <c r="B832" s="1">
        <v>132</v>
      </c>
      <c r="C832" s="1" t="s">
        <v>623</v>
      </c>
    </row>
    <row r="833" spans="1:3" x14ac:dyDescent="0.3">
      <c r="A833" s="1" t="s">
        <v>703</v>
      </c>
      <c r="B833" s="1">
        <v>133</v>
      </c>
      <c r="C833" s="1" t="s">
        <v>624</v>
      </c>
    </row>
    <row r="834" spans="1:3" x14ac:dyDescent="0.3">
      <c r="A834" s="1" t="s">
        <v>703</v>
      </c>
      <c r="B834" s="1">
        <v>134</v>
      </c>
      <c r="C834" s="1" t="s">
        <v>634</v>
      </c>
    </row>
    <row r="835" spans="1:3" x14ac:dyDescent="0.3">
      <c r="A835" s="1" t="s">
        <v>741</v>
      </c>
      <c r="B835" s="1">
        <v>1</v>
      </c>
      <c r="C835" s="1" t="s">
        <v>742</v>
      </c>
    </row>
    <row r="836" spans="1:3" x14ac:dyDescent="0.3">
      <c r="A836" s="1" t="s">
        <v>741</v>
      </c>
      <c r="B836" s="1">
        <v>2</v>
      </c>
      <c r="C836" s="1" t="s">
        <v>743</v>
      </c>
    </row>
    <row r="837" spans="1:3" x14ac:dyDescent="0.3">
      <c r="A837" s="1" t="s">
        <v>741</v>
      </c>
      <c r="B837" s="1">
        <v>3</v>
      </c>
      <c r="C837" s="1" t="s">
        <v>744</v>
      </c>
    </row>
    <row r="838" spans="1:3" x14ac:dyDescent="0.3">
      <c r="A838" s="1" t="s">
        <v>745</v>
      </c>
      <c r="B838" s="1">
        <v>1</v>
      </c>
      <c r="C838" s="1" t="s">
        <v>746</v>
      </c>
    </row>
    <row r="839" spans="1:3" x14ac:dyDescent="0.3">
      <c r="A839" s="1" t="s">
        <v>745</v>
      </c>
      <c r="B839" s="1">
        <v>2</v>
      </c>
      <c r="C839" s="1" t="s">
        <v>747</v>
      </c>
    </row>
    <row r="840" spans="1:3" x14ac:dyDescent="0.3">
      <c r="A840" s="1" t="s">
        <v>745</v>
      </c>
      <c r="B840" s="1">
        <v>3</v>
      </c>
      <c r="C840" s="1" t="s">
        <v>748</v>
      </c>
    </row>
    <row r="841" spans="1:3" x14ac:dyDescent="0.3">
      <c r="A841" s="1" t="s">
        <v>749</v>
      </c>
      <c r="B841" s="1">
        <v>1</v>
      </c>
      <c r="C841" s="1" t="s">
        <v>750</v>
      </c>
    </row>
    <row r="842" spans="1:3" x14ac:dyDescent="0.3">
      <c r="A842" s="1" t="s">
        <v>749</v>
      </c>
      <c r="B842" s="1">
        <v>2</v>
      </c>
      <c r="C842" s="1" t="s">
        <v>751</v>
      </c>
    </row>
    <row r="843" spans="1:3" x14ac:dyDescent="0.3">
      <c r="A843" s="1" t="s">
        <v>749</v>
      </c>
      <c r="B843" s="1">
        <v>3</v>
      </c>
      <c r="C843" s="1" t="s">
        <v>418</v>
      </c>
    </row>
    <row r="844" spans="1:3" x14ac:dyDescent="0.3">
      <c r="A844" s="1" t="s">
        <v>752</v>
      </c>
      <c r="B844" s="1">
        <v>1</v>
      </c>
      <c r="C844" s="1" t="s">
        <v>753</v>
      </c>
    </row>
    <row r="845" spans="1:3" x14ac:dyDescent="0.3">
      <c r="A845" s="1" t="s">
        <v>752</v>
      </c>
      <c r="B845" s="1">
        <v>2</v>
      </c>
      <c r="C845" s="1" t="s">
        <v>754</v>
      </c>
    </row>
    <row r="846" spans="1:3" x14ac:dyDescent="0.3">
      <c r="A846" s="1" t="s">
        <v>752</v>
      </c>
      <c r="B846" s="1">
        <v>3</v>
      </c>
      <c r="C846" s="1" t="s">
        <v>755</v>
      </c>
    </row>
    <row r="847" spans="1:3" x14ac:dyDescent="0.3">
      <c r="A847" s="1" t="s">
        <v>752</v>
      </c>
      <c r="B847" s="1">
        <v>4</v>
      </c>
      <c r="C847" s="1" t="s">
        <v>756</v>
      </c>
    </row>
    <row r="848" spans="1:3" x14ac:dyDescent="0.3">
      <c r="A848" s="1" t="s">
        <v>752</v>
      </c>
      <c r="B848" s="1">
        <v>5</v>
      </c>
      <c r="C848" s="1" t="s">
        <v>757</v>
      </c>
    </row>
    <row r="849" spans="1:3" x14ac:dyDescent="0.3">
      <c r="A849" s="1" t="s">
        <v>752</v>
      </c>
      <c r="B849" s="1">
        <v>6</v>
      </c>
      <c r="C849" s="1" t="s">
        <v>758</v>
      </c>
    </row>
    <row r="850" spans="1:3" x14ac:dyDescent="0.3">
      <c r="A850" s="1" t="s">
        <v>752</v>
      </c>
      <c r="B850" s="1">
        <v>7</v>
      </c>
      <c r="C850" s="1" t="s">
        <v>759</v>
      </c>
    </row>
    <row r="851" spans="1:3" x14ac:dyDescent="0.3">
      <c r="A851" s="1" t="s">
        <v>760</v>
      </c>
      <c r="B851" s="1">
        <v>1</v>
      </c>
      <c r="C851" s="1" t="s">
        <v>342</v>
      </c>
    </row>
    <row r="852" spans="1:3" x14ac:dyDescent="0.3">
      <c r="A852" s="1" t="s">
        <v>760</v>
      </c>
      <c r="B852" s="1">
        <v>2</v>
      </c>
      <c r="C852" s="1" t="s">
        <v>761</v>
      </c>
    </row>
    <row r="853" spans="1:3" x14ac:dyDescent="0.3">
      <c r="A853" s="1" t="s">
        <v>760</v>
      </c>
      <c r="B853" s="1">
        <v>3</v>
      </c>
      <c r="C853" s="1" t="s">
        <v>340</v>
      </c>
    </row>
    <row r="854" spans="1:3" x14ac:dyDescent="0.3">
      <c r="A854" s="1" t="s">
        <v>760</v>
      </c>
      <c r="B854" s="1">
        <v>4</v>
      </c>
      <c r="C854" s="1" t="s">
        <v>762</v>
      </c>
    </row>
    <row r="855" spans="1:3" x14ac:dyDescent="0.3">
      <c r="A855" s="1" t="s">
        <v>760</v>
      </c>
      <c r="B855" s="1">
        <v>5</v>
      </c>
      <c r="C855" s="1" t="s">
        <v>343</v>
      </c>
    </row>
    <row r="856" spans="1:3" x14ac:dyDescent="0.3">
      <c r="A856" s="1" t="s">
        <v>763</v>
      </c>
      <c r="B856" s="1">
        <v>1</v>
      </c>
      <c r="C856" s="1" t="s">
        <v>764</v>
      </c>
    </row>
    <row r="857" spans="1:3" x14ac:dyDescent="0.3">
      <c r="A857" s="1" t="s">
        <v>763</v>
      </c>
      <c r="B857" s="1">
        <v>2</v>
      </c>
      <c r="C857" s="1" t="s">
        <v>765</v>
      </c>
    </row>
    <row r="858" spans="1:3" x14ac:dyDescent="0.3">
      <c r="A858" s="1" t="s">
        <v>763</v>
      </c>
      <c r="B858" s="1">
        <v>3</v>
      </c>
      <c r="C858" s="1" t="s">
        <v>766</v>
      </c>
    </row>
    <row r="859" spans="1:3" x14ac:dyDescent="0.3">
      <c r="A859" s="1" t="s">
        <v>763</v>
      </c>
      <c r="B859" s="1">
        <v>4</v>
      </c>
      <c r="C859" s="1" t="s">
        <v>767</v>
      </c>
    </row>
    <row r="860" spans="1:3" x14ac:dyDescent="0.3">
      <c r="A860" s="1" t="s">
        <v>768</v>
      </c>
      <c r="B860" s="1">
        <v>1</v>
      </c>
      <c r="C860" s="1" t="s">
        <v>769</v>
      </c>
    </row>
    <row r="861" spans="1:3" x14ac:dyDescent="0.3">
      <c r="A861" s="1" t="s">
        <v>768</v>
      </c>
      <c r="B861" s="1">
        <v>2</v>
      </c>
      <c r="C861" s="1" t="s">
        <v>770</v>
      </c>
    </row>
    <row r="862" spans="1:3" x14ac:dyDescent="0.3">
      <c r="A862" s="1" t="s">
        <v>768</v>
      </c>
      <c r="B862" s="1">
        <v>3</v>
      </c>
      <c r="C862" s="1" t="s">
        <v>771</v>
      </c>
    </row>
    <row r="863" spans="1:3" x14ac:dyDescent="0.3">
      <c r="A863" s="1" t="s">
        <v>768</v>
      </c>
      <c r="B863" s="1">
        <v>4</v>
      </c>
      <c r="C863" s="1" t="s">
        <v>772</v>
      </c>
    </row>
    <row r="864" spans="1:3" x14ac:dyDescent="0.3">
      <c r="A864" s="1" t="s">
        <v>768</v>
      </c>
      <c r="B864" s="1">
        <v>5</v>
      </c>
      <c r="C864" s="1" t="s">
        <v>773</v>
      </c>
    </row>
    <row r="865" spans="1:3" x14ac:dyDescent="0.3">
      <c r="A865" s="1" t="s">
        <v>768</v>
      </c>
      <c r="B865" s="1">
        <v>6</v>
      </c>
      <c r="C865" s="1" t="s">
        <v>774</v>
      </c>
    </row>
    <row r="866" spans="1:3" x14ac:dyDescent="0.3">
      <c r="A866" s="1" t="s">
        <v>768</v>
      </c>
      <c r="B866" s="1">
        <v>7</v>
      </c>
      <c r="C866" s="1" t="s">
        <v>775</v>
      </c>
    </row>
    <row r="867" spans="1:3" x14ac:dyDescent="0.3">
      <c r="A867" s="1" t="s">
        <v>768</v>
      </c>
      <c r="B867" s="1">
        <v>8</v>
      </c>
      <c r="C867" s="1" t="s">
        <v>776</v>
      </c>
    </row>
    <row r="868" spans="1:3" x14ac:dyDescent="0.3">
      <c r="A868" s="1" t="s">
        <v>768</v>
      </c>
      <c r="B868" s="1">
        <v>9</v>
      </c>
      <c r="C868" s="1" t="s">
        <v>777</v>
      </c>
    </row>
    <row r="869" spans="1:3" x14ac:dyDescent="0.3">
      <c r="A869" s="1" t="s">
        <v>768</v>
      </c>
      <c r="B869" s="1">
        <v>10</v>
      </c>
      <c r="C869" s="1" t="s">
        <v>778</v>
      </c>
    </row>
    <row r="870" spans="1:3" x14ac:dyDescent="0.3">
      <c r="A870" s="1" t="s">
        <v>768</v>
      </c>
      <c r="B870" s="1">
        <v>11</v>
      </c>
      <c r="C870" s="1" t="s">
        <v>779</v>
      </c>
    </row>
    <row r="871" spans="1:3" x14ac:dyDescent="0.3">
      <c r="A871" s="1" t="s">
        <v>768</v>
      </c>
      <c r="B871" s="1">
        <v>12</v>
      </c>
      <c r="C871" s="1" t="s">
        <v>780</v>
      </c>
    </row>
    <row r="872" spans="1:3" x14ac:dyDescent="0.3">
      <c r="A872" s="1" t="s">
        <v>768</v>
      </c>
      <c r="B872" s="1">
        <v>13</v>
      </c>
      <c r="C872" s="1" t="s">
        <v>781</v>
      </c>
    </row>
    <row r="873" spans="1:3" x14ac:dyDescent="0.3">
      <c r="A873" s="1" t="s">
        <v>768</v>
      </c>
      <c r="B873" s="1">
        <v>14</v>
      </c>
      <c r="C873" s="1" t="s">
        <v>782</v>
      </c>
    </row>
    <row r="874" spans="1:3" x14ac:dyDescent="0.3">
      <c r="A874" s="1" t="s">
        <v>768</v>
      </c>
      <c r="B874" s="1">
        <v>15</v>
      </c>
      <c r="C874" s="1" t="s">
        <v>442</v>
      </c>
    </row>
    <row r="875" spans="1:3" x14ac:dyDescent="0.3">
      <c r="A875" s="1" t="s">
        <v>783</v>
      </c>
      <c r="B875" s="1">
        <v>1</v>
      </c>
      <c r="C875" s="1" t="s">
        <v>461</v>
      </c>
    </row>
    <row r="876" spans="1:3" x14ac:dyDescent="0.3">
      <c r="A876" s="1" t="s">
        <v>783</v>
      </c>
      <c r="B876" s="1">
        <v>2</v>
      </c>
      <c r="C876" s="1" t="s">
        <v>784</v>
      </c>
    </row>
    <row r="877" spans="1:3" x14ac:dyDescent="0.3">
      <c r="A877" s="1" t="s">
        <v>783</v>
      </c>
      <c r="B877" s="1">
        <v>3</v>
      </c>
      <c r="C877" s="1" t="s">
        <v>785</v>
      </c>
    </row>
    <row r="878" spans="1:3" x14ac:dyDescent="0.3">
      <c r="A878" s="1" t="s">
        <v>783</v>
      </c>
      <c r="B878" s="1">
        <v>4</v>
      </c>
      <c r="C878" s="1" t="s">
        <v>786</v>
      </c>
    </row>
    <row r="879" spans="1:3" x14ac:dyDescent="0.3">
      <c r="A879" s="1" t="s">
        <v>783</v>
      </c>
      <c r="B879" s="1">
        <v>5</v>
      </c>
      <c r="C879" s="1" t="s">
        <v>787</v>
      </c>
    </row>
    <row r="880" spans="1:3" x14ac:dyDescent="0.3">
      <c r="A880" s="1" t="s">
        <v>783</v>
      </c>
      <c r="B880" s="1">
        <v>6</v>
      </c>
      <c r="C880" s="1" t="s">
        <v>788</v>
      </c>
    </row>
    <row r="881" spans="1:3" x14ac:dyDescent="0.3">
      <c r="A881" s="1" t="s">
        <v>783</v>
      </c>
      <c r="B881" s="1">
        <v>7</v>
      </c>
      <c r="C881" s="1" t="s">
        <v>789</v>
      </c>
    </row>
    <row r="882" spans="1:3" x14ac:dyDescent="0.3">
      <c r="A882" s="1" t="s">
        <v>783</v>
      </c>
      <c r="B882" s="1">
        <v>8</v>
      </c>
      <c r="C882" s="1" t="s">
        <v>790</v>
      </c>
    </row>
    <row r="883" spans="1:3" x14ac:dyDescent="0.3">
      <c r="A883" s="1" t="s">
        <v>783</v>
      </c>
      <c r="B883" s="1">
        <v>9</v>
      </c>
      <c r="C883" s="1" t="s">
        <v>791</v>
      </c>
    </row>
    <row r="884" spans="1:3" x14ac:dyDescent="0.3">
      <c r="A884" s="1" t="s">
        <v>783</v>
      </c>
      <c r="B884" s="1">
        <v>10</v>
      </c>
      <c r="C884" s="1" t="s">
        <v>792</v>
      </c>
    </row>
    <row r="885" spans="1:3" x14ac:dyDescent="0.3">
      <c r="A885" s="1" t="s">
        <v>783</v>
      </c>
      <c r="B885" s="1">
        <v>11</v>
      </c>
      <c r="C885" s="1" t="s">
        <v>793</v>
      </c>
    </row>
    <row r="886" spans="1:3" x14ac:dyDescent="0.3">
      <c r="A886" s="1" t="s">
        <v>783</v>
      </c>
      <c r="B886" s="1">
        <v>12</v>
      </c>
      <c r="C886" s="1" t="s">
        <v>794</v>
      </c>
    </row>
    <row r="887" spans="1:3" x14ac:dyDescent="0.3">
      <c r="A887" s="1" t="s">
        <v>783</v>
      </c>
      <c r="B887" s="1">
        <v>13</v>
      </c>
      <c r="C887" s="1" t="s">
        <v>795</v>
      </c>
    </row>
    <row r="888" spans="1:3" x14ac:dyDescent="0.3">
      <c r="A888" s="1" t="s">
        <v>783</v>
      </c>
      <c r="B888" s="1">
        <v>14</v>
      </c>
      <c r="C888" s="1" t="s">
        <v>796</v>
      </c>
    </row>
    <row r="889" spans="1:3" x14ac:dyDescent="0.3">
      <c r="A889" s="1" t="s">
        <v>783</v>
      </c>
      <c r="B889" s="1">
        <v>15</v>
      </c>
      <c r="C889" s="1" t="s">
        <v>797</v>
      </c>
    </row>
    <row r="890" spans="1:3" x14ac:dyDescent="0.3">
      <c r="A890" s="1" t="s">
        <v>783</v>
      </c>
      <c r="B890" s="1">
        <v>16</v>
      </c>
      <c r="C890" s="1" t="s">
        <v>798</v>
      </c>
    </row>
    <row r="891" spans="1:3" x14ac:dyDescent="0.3">
      <c r="A891" s="1" t="s">
        <v>799</v>
      </c>
      <c r="B891" s="1" t="s">
        <v>800</v>
      </c>
      <c r="C891" s="1" t="s">
        <v>800</v>
      </c>
    </row>
    <row r="892" spans="1:3" x14ac:dyDescent="0.3">
      <c r="A892" s="1" t="s">
        <v>799</v>
      </c>
      <c r="B892" s="1" t="s">
        <v>801</v>
      </c>
      <c r="C892" s="1" t="s">
        <v>801</v>
      </c>
    </row>
    <row r="893" spans="1:3" x14ac:dyDescent="0.3">
      <c r="A893" s="1" t="s">
        <v>799</v>
      </c>
      <c r="B893" s="1" t="s">
        <v>802</v>
      </c>
      <c r="C893" s="1" t="s">
        <v>802</v>
      </c>
    </row>
    <row r="894" spans="1:3" x14ac:dyDescent="0.3">
      <c r="A894" s="1" t="s">
        <v>799</v>
      </c>
      <c r="B894" s="1" t="s">
        <v>803</v>
      </c>
      <c r="C894" s="1" t="s">
        <v>803</v>
      </c>
    </row>
    <row r="895" spans="1:3" x14ac:dyDescent="0.3">
      <c r="A895" s="1" t="s">
        <v>799</v>
      </c>
      <c r="B895" s="1" t="s">
        <v>804</v>
      </c>
      <c r="C895" s="1" t="s">
        <v>804</v>
      </c>
    </row>
    <row r="896" spans="1:3" x14ac:dyDescent="0.3">
      <c r="A896" s="1" t="s">
        <v>799</v>
      </c>
      <c r="B896" s="1" t="s">
        <v>805</v>
      </c>
      <c r="C896" s="1" t="s">
        <v>805</v>
      </c>
    </row>
    <row r="897" spans="1:3" x14ac:dyDescent="0.3">
      <c r="A897" s="1" t="s">
        <v>799</v>
      </c>
      <c r="B897" s="1" t="s">
        <v>806</v>
      </c>
      <c r="C897" s="1" t="s">
        <v>806</v>
      </c>
    </row>
    <row r="898" spans="1:3" x14ac:dyDescent="0.3">
      <c r="A898" s="1" t="s">
        <v>807</v>
      </c>
      <c r="B898" s="1">
        <v>1</v>
      </c>
      <c r="C898" s="1" t="s">
        <v>808</v>
      </c>
    </row>
    <row r="899" spans="1:3" x14ac:dyDescent="0.3">
      <c r="A899" s="1" t="s">
        <v>807</v>
      </c>
      <c r="B899" s="1">
        <v>2</v>
      </c>
      <c r="C899" s="1" t="s">
        <v>809</v>
      </c>
    </row>
    <row r="900" spans="1:3" x14ac:dyDescent="0.3">
      <c r="A900" s="1" t="s">
        <v>810</v>
      </c>
      <c r="B900" s="1">
        <v>1</v>
      </c>
      <c r="C900" s="1" t="s">
        <v>811</v>
      </c>
    </row>
    <row r="901" spans="1:3" x14ac:dyDescent="0.3">
      <c r="A901" s="1" t="s">
        <v>810</v>
      </c>
      <c r="B901" s="1">
        <v>2</v>
      </c>
      <c r="C901" s="1" t="s">
        <v>812</v>
      </c>
    </row>
    <row r="902" spans="1:3" x14ac:dyDescent="0.3">
      <c r="A902" s="1" t="s">
        <v>810</v>
      </c>
      <c r="B902" s="1">
        <v>3</v>
      </c>
      <c r="C902" s="1" t="s">
        <v>199</v>
      </c>
    </row>
    <row r="903" spans="1:3" x14ac:dyDescent="0.3">
      <c r="A903" s="1" t="s">
        <v>810</v>
      </c>
      <c r="B903" s="1">
        <v>4</v>
      </c>
      <c r="C903" s="1" t="s">
        <v>813</v>
      </c>
    </row>
    <row r="904" spans="1:3" x14ac:dyDescent="0.3">
      <c r="A904" s="1" t="s">
        <v>814</v>
      </c>
      <c r="B904" s="1">
        <v>1</v>
      </c>
      <c r="C904" s="1" t="s">
        <v>815</v>
      </c>
    </row>
    <row r="905" spans="1:3" x14ac:dyDescent="0.3">
      <c r="A905" s="1" t="s">
        <v>814</v>
      </c>
      <c r="B905" s="1">
        <v>2</v>
      </c>
      <c r="C905" s="1" t="s">
        <v>816</v>
      </c>
    </row>
    <row r="906" spans="1:3" x14ac:dyDescent="0.3">
      <c r="A906" s="1" t="s">
        <v>814</v>
      </c>
      <c r="B906" s="1">
        <v>3</v>
      </c>
      <c r="C906" s="1" t="s">
        <v>817</v>
      </c>
    </row>
    <row r="907" spans="1:3" x14ac:dyDescent="0.3">
      <c r="A907" s="1" t="s">
        <v>818</v>
      </c>
      <c r="B907" s="1">
        <v>1</v>
      </c>
      <c r="C907" s="1" t="s">
        <v>819</v>
      </c>
    </row>
    <row r="908" spans="1:3" x14ac:dyDescent="0.3">
      <c r="A908" s="1" t="s">
        <v>818</v>
      </c>
      <c r="B908" s="1">
        <v>2</v>
      </c>
      <c r="C908" s="1" t="s">
        <v>820</v>
      </c>
    </row>
    <row r="909" spans="1:3" x14ac:dyDescent="0.3">
      <c r="A909" s="1" t="s">
        <v>818</v>
      </c>
      <c r="B909" s="1">
        <v>3</v>
      </c>
      <c r="C909" s="1" t="s">
        <v>821</v>
      </c>
    </row>
    <row r="910" spans="1:3" x14ac:dyDescent="0.3">
      <c r="A910" s="1" t="s">
        <v>818</v>
      </c>
      <c r="B910" s="1">
        <v>4</v>
      </c>
      <c r="C910" s="1" t="s">
        <v>822</v>
      </c>
    </row>
    <row r="911" spans="1:3" x14ac:dyDescent="0.3">
      <c r="A911" s="1" t="s">
        <v>818</v>
      </c>
      <c r="B911" s="1">
        <v>5</v>
      </c>
      <c r="C911" s="1" t="s">
        <v>823</v>
      </c>
    </row>
    <row r="912" spans="1:3" x14ac:dyDescent="0.3">
      <c r="A912" s="1" t="s">
        <v>818</v>
      </c>
      <c r="B912" s="1">
        <v>6</v>
      </c>
      <c r="C912" s="1" t="s">
        <v>824</v>
      </c>
    </row>
    <row r="913" spans="1:3" x14ac:dyDescent="0.3">
      <c r="A913" s="1" t="s">
        <v>818</v>
      </c>
      <c r="B913" s="1">
        <v>7</v>
      </c>
      <c r="C913" s="1" t="s">
        <v>825</v>
      </c>
    </row>
    <row r="914" spans="1:3" x14ac:dyDescent="0.3">
      <c r="A914" s="1" t="s">
        <v>826</v>
      </c>
      <c r="B914" s="1">
        <v>1</v>
      </c>
      <c r="C914" s="1" t="s">
        <v>827</v>
      </c>
    </row>
    <row r="915" spans="1:3" x14ac:dyDescent="0.3">
      <c r="A915" s="1" t="s">
        <v>826</v>
      </c>
      <c r="B915" s="1">
        <v>2</v>
      </c>
      <c r="C915" s="1" t="s">
        <v>828</v>
      </c>
    </row>
    <row r="916" spans="1:3" x14ac:dyDescent="0.3">
      <c r="A916" s="1" t="s">
        <v>826</v>
      </c>
      <c r="B916" s="1">
        <v>3</v>
      </c>
      <c r="C916" s="1" t="s">
        <v>829</v>
      </c>
    </row>
    <row r="917" spans="1:3" x14ac:dyDescent="0.3">
      <c r="A917" s="1" t="s">
        <v>826</v>
      </c>
      <c r="B917" s="1">
        <v>4</v>
      </c>
      <c r="C917" s="1" t="s">
        <v>830</v>
      </c>
    </row>
    <row r="918" spans="1:3" x14ac:dyDescent="0.3">
      <c r="A918" s="1" t="s">
        <v>826</v>
      </c>
      <c r="B918" s="1">
        <v>5</v>
      </c>
      <c r="C918" s="1" t="s">
        <v>831</v>
      </c>
    </row>
    <row r="919" spans="1:3" x14ac:dyDescent="0.3">
      <c r="A919" s="1" t="s">
        <v>826</v>
      </c>
      <c r="B919" s="1">
        <v>6</v>
      </c>
      <c r="C919" s="1" t="s">
        <v>832</v>
      </c>
    </row>
    <row r="920" spans="1:3" x14ac:dyDescent="0.3">
      <c r="A920" s="1" t="s">
        <v>826</v>
      </c>
      <c r="B920" s="1">
        <v>7</v>
      </c>
      <c r="C920" s="1" t="s">
        <v>833</v>
      </c>
    </row>
    <row r="921" spans="1:3" x14ac:dyDescent="0.3">
      <c r="A921" s="1" t="s">
        <v>826</v>
      </c>
      <c r="B921" s="1">
        <v>8</v>
      </c>
      <c r="C921" s="1" t="s">
        <v>834</v>
      </c>
    </row>
    <row r="922" spans="1:3" x14ac:dyDescent="0.3">
      <c r="A922" s="1" t="s">
        <v>826</v>
      </c>
      <c r="B922" s="1">
        <v>9</v>
      </c>
      <c r="C922" s="1" t="s">
        <v>756</v>
      </c>
    </row>
    <row r="923" spans="1:3" x14ac:dyDescent="0.3">
      <c r="A923" s="1" t="s">
        <v>835</v>
      </c>
      <c r="B923" s="1">
        <v>1</v>
      </c>
      <c r="C923" s="1" t="s">
        <v>836</v>
      </c>
    </row>
    <row r="924" spans="1:3" x14ac:dyDescent="0.3">
      <c r="A924" s="1" t="s">
        <v>835</v>
      </c>
      <c r="B924" s="1">
        <v>2</v>
      </c>
      <c r="C924" s="1" t="s">
        <v>837</v>
      </c>
    </row>
    <row r="925" spans="1:3" x14ac:dyDescent="0.3">
      <c r="A925" s="1" t="s">
        <v>835</v>
      </c>
      <c r="B925" s="1">
        <v>3</v>
      </c>
      <c r="C925" s="1" t="s">
        <v>838</v>
      </c>
    </row>
    <row r="926" spans="1:3" x14ac:dyDescent="0.3">
      <c r="A926" s="1" t="s">
        <v>835</v>
      </c>
      <c r="B926" s="1">
        <v>4</v>
      </c>
      <c r="C926" s="1" t="s">
        <v>839</v>
      </c>
    </row>
    <row r="927" spans="1:3" x14ac:dyDescent="0.3">
      <c r="A927" s="1" t="s">
        <v>835</v>
      </c>
      <c r="B927" s="1">
        <v>5</v>
      </c>
      <c r="C927" s="1" t="s">
        <v>840</v>
      </c>
    </row>
    <row r="928" spans="1:3" x14ac:dyDescent="0.3">
      <c r="A928" s="1" t="s">
        <v>835</v>
      </c>
      <c r="B928" s="1">
        <v>6</v>
      </c>
      <c r="C928" s="1" t="s">
        <v>841</v>
      </c>
    </row>
    <row r="929" spans="1:3" x14ac:dyDescent="0.3">
      <c r="A929" s="1" t="s">
        <v>835</v>
      </c>
      <c r="B929" s="1">
        <v>7</v>
      </c>
      <c r="C929" s="1" t="s">
        <v>842</v>
      </c>
    </row>
    <row r="930" spans="1:3" x14ac:dyDescent="0.3">
      <c r="A930" s="1" t="s">
        <v>835</v>
      </c>
      <c r="B930" s="1">
        <v>8</v>
      </c>
      <c r="C930" s="1" t="s">
        <v>843</v>
      </c>
    </row>
    <row r="931" spans="1:3" x14ac:dyDescent="0.3">
      <c r="A931" s="1" t="s">
        <v>835</v>
      </c>
      <c r="B931" s="1">
        <v>9</v>
      </c>
      <c r="C931" s="1" t="s">
        <v>844</v>
      </c>
    </row>
    <row r="932" spans="1:3" x14ac:dyDescent="0.3">
      <c r="A932" s="1" t="s">
        <v>835</v>
      </c>
      <c r="B932" s="1">
        <v>10</v>
      </c>
      <c r="C932" s="1" t="s">
        <v>845</v>
      </c>
    </row>
    <row r="933" spans="1:3" x14ac:dyDescent="0.3">
      <c r="A933" s="1" t="s">
        <v>846</v>
      </c>
      <c r="B933" s="1">
        <v>1</v>
      </c>
      <c r="C933" s="1" t="s">
        <v>836</v>
      </c>
    </row>
    <row r="934" spans="1:3" x14ac:dyDescent="0.3">
      <c r="A934" s="1" t="s">
        <v>846</v>
      </c>
      <c r="B934" s="1">
        <v>2</v>
      </c>
      <c r="C934" s="1" t="s">
        <v>837</v>
      </c>
    </row>
    <row r="935" spans="1:3" x14ac:dyDescent="0.3">
      <c r="A935" s="1" t="s">
        <v>846</v>
      </c>
      <c r="B935" s="1">
        <v>3</v>
      </c>
      <c r="C935" s="1" t="s">
        <v>838</v>
      </c>
    </row>
    <row r="936" spans="1:3" x14ac:dyDescent="0.3">
      <c r="A936" s="1" t="s">
        <v>846</v>
      </c>
      <c r="B936" s="1">
        <v>4</v>
      </c>
      <c r="C936" s="1" t="s">
        <v>847</v>
      </c>
    </row>
    <row r="937" spans="1:3" x14ac:dyDescent="0.3">
      <c r="A937" s="1" t="s">
        <v>846</v>
      </c>
      <c r="B937" s="1">
        <v>5</v>
      </c>
      <c r="C937" s="1" t="s">
        <v>848</v>
      </c>
    </row>
    <row r="938" spans="1:3" x14ac:dyDescent="0.3">
      <c r="A938" s="1" t="s">
        <v>846</v>
      </c>
      <c r="B938" s="1">
        <v>6</v>
      </c>
      <c r="C938" s="1" t="s">
        <v>849</v>
      </c>
    </row>
    <row r="939" spans="1:3" x14ac:dyDescent="0.3">
      <c r="A939" s="1" t="s">
        <v>846</v>
      </c>
      <c r="B939" s="1">
        <v>7</v>
      </c>
      <c r="C939" s="1" t="s">
        <v>840</v>
      </c>
    </row>
    <row r="940" spans="1:3" x14ac:dyDescent="0.3">
      <c r="A940" s="1" t="s">
        <v>846</v>
      </c>
      <c r="B940" s="1">
        <v>8</v>
      </c>
      <c r="C940" s="1" t="s">
        <v>841</v>
      </c>
    </row>
    <row r="941" spans="1:3" x14ac:dyDescent="0.3">
      <c r="A941" s="1" t="s">
        <v>846</v>
      </c>
      <c r="B941" s="1">
        <v>9</v>
      </c>
      <c r="C941" s="1" t="s">
        <v>842</v>
      </c>
    </row>
    <row r="942" spans="1:3" x14ac:dyDescent="0.3">
      <c r="A942" s="1" t="s">
        <v>846</v>
      </c>
      <c r="B942" s="1">
        <v>10</v>
      </c>
      <c r="C942" s="1" t="s">
        <v>843</v>
      </c>
    </row>
    <row r="943" spans="1:3" x14ac:dyDescent="0.3">
      <c r="A943" s="1" t="s">
        <v>846</v>
      </c>
      <c r="B943" s="1">
        <v>11</v>
      </c>
      <c r="C943" s="1" t="s">
        <v>850</v>
      </c>
    </row>
    <row r="944" spans="1:3" x14ac:dyDescent="0.3">
      <c r="A944" s="1" t="s">
        <v>846</v>
      </c>
      <c r="B944" s="1">
        <v>12</v>
      </c>
      <c r="C944" s="1" t="s">
        <v>851</v>
      </c>
    </row>
    <row r="945" spans="1:3" x14ac:dyDescent="0.3">
      <c r="A945" s="1" t="s">
        <v>852</v>
      </c>
      <c r="B945" s="1">
        <v>1</v>
      </c>
      <c r="C945" s="1">
        <v>1</v>
      </c>
    </row>
    <row r="946" spans="1:3" x14ac:dyDescent="0.3">
      <c r="A946" s="1" t="s">
        <v>852</v>
      </c>
      <c r="B946" s="1">
        <v>2</v>
      </c>
      <c r="C946" s="1">
        <v>2</v>
      </c>
    </row>
    <row r="947" spans="1:3" x14ac:dyDescent="0.3">
      <c r="A947" s="1" t="s">
        <v>852</v>
      </c>
      <c r="B947" s="1">
        <v>3</v>
      </c>
      <c r="C947" s="1" t="s">
        <v>853</v>
      </c>
    </row>
    <row r="948" spans="1:3" x14ac:dyDescent="0.3">
      <c r="A948" s="1" t="s">
        <v>854</v>
      </c>
      <c r="B948" s="1">
        <v>1</v>
      </c>
      <c r="C948" s="1" t="s">
        <v>836</v>
      </c>
    </row>
    <row r="949" spans="1:3" x14ac:dyDescent="0.3">
      <c r="A949" s="1" t="s">
        <v>854</v>
      </c>
      <c r="B949" s="1">
        <v>2</v>
      </c>
      <c r="C949" s="1" t="s">
        <v>837</v>
      </c>
    </row>
    <row r="950" spans="1:3" x14ac:dyDescent="0.3">
      <c r="A950" s="1" t="s">
        <v>854</v>
      </c>
      <c r="B950" s="1">
        <v>3</v>
      </c>
      <c r="C950" s="1" t="s">
        <v>838</v>
      </c>
    </row>
    <row r="951" spans="1:3" x14ac:dyDescent="0.3">
      <c r="A951" s="1" t="s">
        <v>854</v>
      </c>
      <c r="B951" s="1">
        <v>4</v>
      </c>
      <c r="C951" s="1" t="s">
        <v>839</v>
      </c>
    </row>
    <row r="952" spans="1:3" x14ac:dyDescent="0.3">
      <c r="A952" s="1" t="s">
        <v>854</v>
      </c>
      <c r="B952" s="1">
        <v>5</v>
      </c>
      <c r="C952" s="1" t="s">
        <v>840</v>
      </c>
    </row>
    <row r="953" spans="1:3" x14ac:dyDescent="0.3">
      <c r="A953" s="1" t="s">
        <v>854</v>
      </c>
      <c r="B953" s="1">
        <v>6</v>
      </c>
      <c r="C953" s="1" t="s">
        <v>841</v>
      </c>
    </row>
    <row r="954" spans="1:3" x14ac:dyDescent="0.3">
      <c r="A954" s="1" t="s">
        <v>854</v>
      </c>
      <c r="B954" s="1">
        <v>7</v>
      </c>
      <c r="C954" s="1" t="s">
        <v>842</v>
      </c>
    </row>
    <row r="955" spans="1:3" x14ac:dyDescent="0.3">
      <c r="A955" s="1" t="s">
        <v>854</v>
      </c>
      <c r="B955" s="1">
        <v>8</v>
      </c>
      <c r="C955" s="1" t="s">
        <v>843</v>
      </c>
    </row>
    <row r="956" spans="1:3" x14ac:dyDescent="0.3">
      <c r="A956" s="1" t="s">
        <v>854</v>
      </c>
      <c r="B956" s="1">
        <v>9</v>
      </c>
      <c r="C956" s="1" t="s">
        <v>855</v>
      </c>
    </row>
    <row r="957" spans="1:3" x14ac:dyDescent="0.3">
      <c r="A957" s="1" t="s">
        <v>856</v>
      </c>
      <c r="B957" s="1">
        <v>1</v>
      </c>
      <c r="C957" s="1" t="s">
        <v>857</v>
      </c>
    </row>
    <row r="958" spans="1:3" x14ac:dyDescent="0.3">
      <c r="A958" s="1" t="s">
        <v>856</v>
      </c>
      <c r="B958" s="1">
        <v>2</v>
      </c>
      <c r="C958" s="1" t="s">
        <v>858</v>
      </c>
    </row>
    <row r="959" spans="1:3" x14ac:dyDescent="0.3">
      <c r="A959" s="1" t="s">
        <v>856</v>
      </c>
      <c r="B959" s="1">
        <v>3</v>
      </c>
      <c r="C959" s="1" t="s">
        <v>859</v>
      </c>
    </row>
    <row r="960" spans="1:3" x14ac:dyDescent="0.3">
      <c r="A960" s="1" t="s">
        <v>856</v>
      </c>
      <c r="B960" s="1">
        <v>4</v>
      </c>
      <c r="C960" s="1" t="s">
        <v>860</v>
      </c>
    </row>
    <row r="961" spans="1:3" x14ac:dyDescent="0.3">
      <c r="A961" s="1" t="s">
        <v>856</v>
      </c>
      <c r="B961" s="1">
        <v>5</v>
      </c>
      <c r="C961" s="1" t="s">
        <v>861</v>
      </c>
    </row>
    <row r="962" spans="1:3" x14ac:dyDescent="0.3">
      <c r="A962" s="1" t="s">
        <v>856</v>
      </c>
      <c r="B962" s="1">
        <v>6</v>
      </c>
      <c r="C962" s="1" t="s">
        <v>862</v>
      </c>
    </row>
    <row r="963" spans="1:3" x14ac:dyDescent="0.3">
      <c r="A963" s="1" t="s">
        <v>856</v>
      </c>
      <c r="B963" s="1">
        <v>7</v>
      </c>
      <c r="C963" s="1" t="s">
        <v>863</v>
      </c>
    </row>
    <row r="964" spans="1:3" x14ac:dyDescent="0.3">
      <c r="A964" s="1" t="s">
        <v>856</v>
      </c>
      <c r="B964" s="1">
        <v>8</v>
      </c>
      <c r="C964" s="1" t="s">
        <v>864</v>
      </c>
    </row>
    <row r="965" spans="1:3" x14ac:dyDescent="0.3">
      <c r="A965" s="1" t="s">
        <v>856</v>
      </c>
      <c r="B965" s="1">
        <v>9</v>
      </c>
      <c r="C965" s="1" t="s">
        <v>865</v>
      </c>
    </row>
    <row r="966" spans="1:3" x14ac:dyDescent="0.3">
      <c r="A966" s="1" t="s">
        <v>856</v>
      </c>
      <c r="B966" s="1">
        <v>10</v>
      </c>
      <c r="C966" s="1" t="s">
        <v>866</v>
      </c>
    </row>
    <row r="967" spans="1:3" x14ac:dyDescent="0.3">
      <c r="A967" s="1" t="s">
        <v>856</v>
      </c>
      <c r="B967" s="1">
        <v>11</v>
      </c>
      <c r="C967" s="1" t="s">
        <v>867</v>
      </c>
    </row>
    <row r="968" spans="1:3" x14ac:dyDescent="0.3">
      <c r="A968" s="1" t="s">
        <v>856</v>
      </c>
      <c r="B968" s="1">
        <v>12</v>
      </c>
      <c r="C968" s="1" t="s">
        <v>868</v>
      </c>
    </row>
    <row r="969" spans="1:3" x14ac:dyDescent="0.3">
      <c r="A969" s="1" t="s">
        <v>856</v>
      </c>
      <c r="B969" s="1">
        <v>13</v>
      </c>
      <c r="C969" s="1" t="s">
        <v>869</v>
      </c>
    </row>
    <row r="970" spans="1:3" x14ac:dyDescent="0.3">
      <c r="A970" s="1" t="s">
        <v>856</v>
      </c>
      <c r="B970" s="1">
        <v>14</v>
      </c>
      <c r="C970" s="1" t="s">
        <v>870</v>
      </c>
    </row>
    <row r="971" spans="1:3" x14ac:dyDescent="0.3">
      <c r="A971" s="1" t="s">
        <v>856</v>
      </c>
      <c r="B971" s="1">
        <v>15</v>
      </c>
      <c r="C971" s="1" t="s">
        <v>871</v>
      </c>
    </row>
    <row r="972" spans="1:3" x14ac:dyDescent="0.3">
      <c r="A972" s="1" t="s">
        <v>856</v>
      </c>
      <c r="B972" s="1">
        <v>16</v>
      </c>
      <c r="C972" s="1" t="s">
        <v>872</v>
      </c>
    </row>
    <row r="973" spans="1:3" x14ac:dyDescent="0.3">
      <c r="A973" s="1" t="s">
        <v>856</v>
      </c>
      <c r="B973" s="1">
        <v>17</v>
      </c>
      <c r="C973" s="1" t="s">
        <v>873</v>
      </c>
    </row>
    <row r="974" spans="1:3" x14ac:dyDescent="0.3">
      <c r="A974" s="1" t="s">
        <v>856</v>
      </c>
      <c r="B974" s="1">
        <v>18</v>
      </c>
      <c r="C974" s="1" t="s">
        <v>874</v>
      </c>
    </row>
    <row r="975" spans="1:3" x14ac:dyDescent="0.3">
      <c r="A975" s="1" t="s">
        <v>856</v>
      </c>
      <c r="B975" s="1">
        <v>19</v>
      </c>
      <c r="C975" s="1" t="s">
        <v>875</v>
      </c>
    </row>
    <row r="976" spans="1:3" x14ac:dyDescent="0.3">
      <c r="A976" s="1" t="s">
        <v>856</v>
      </c>
      <c r="B976" s="1">
        <v>20</v>
      </c>
      <c r="C976" s="1" t="s">
        <v>876</v>
      </c>
    </row>
    <row r="977" spans="1:3" x14ac:dyDescent="0.3">
      <c r="A977" s="1" t="s">
        <v>877</v>
      </c>
      <c r="B977" s="1">
        <v>1</v>
      </c>
      <c r="C977" s="1" t="s">
        <v>878</v>
      </c>
    </row>
    <row r="978" spans="1:3" x14ac:dyDescent="0.3">
      <c r="A978" s="1" t="s">
        <v>877</v>
      </c>
      <c r="B978" s="1">
        <v>2</v>
      </c>
      <c r="C978" s="1" t="s">
        <v>879</v>
      </c>
    </row>
    <row r="979" spans="1:3" x14ac:dyDescent="0.3">
      <c r="A979" s="1" t="s">
        <v>877</v>
      </c>
      <c r="B979" s="1">
        <v>3</v>
      </c>
      <c r="C979" s="1" t="s">
        <v>880</v>
      </c>
    </row>
    <row r="980" spans="1:3" x14ac:dyDescent="0.3">
      <c r="A980" s="1" t="s">
        <v>877</v>
      </c>
      <c r="B980" s="1">
        <v>4</v>
      </c>
      <c r="C980" s="1" t="s">
        <v>881</v>
      </c>
    </row>
    <row r="981" spans="1:3" x14ac:dyDescent="0.3">
      <c r="A981" s="1" t="s">
        <v>877</v>
      </c>
      <c r="B981" s="1">
        <v>5</v>
      </c>
      <c r="C981" s="1" t="s">
        <v>882</v>
      </c>
    </row>
    <row r="982" spans="1:3" x14ac:dyDescent="0.3">
      <c r="A982" s="1" t="s">
        <v>877</v>
      </c>
      <c r="B982" s="1">
        <v>6</v>
      </c>
      <c r="C982" s="1" t="s">
        <v>883</v>
      </c>
    </row>
    <row r="983" spans="1:3" x14ac:dyDescent="0.3">
      <c r="A983" s="1" t="s">
        <v>884</v>
      </c>
      <c r="B983" s="1">
        <v>1</v>
      </c>
      <c r="C983" s="1" t="s">
        <v>885</v>
      </c>
    </row>
    <row r="984" spans="1:3" x14ac:dyDescent="0.3">
      <c r="A984" s="1" t="s">
        <v>884</v>
      </c>
      <c r="B984" s="1">
        <v>2</v>
      </c>
      <c r="C984" s="1" t="s">
        <v>886</v>
      </c>
    </row>
    <row r="985" spans="1:3" x14ac:dyDescent="0.3">
      <c r="A985" s="1" t="s">
        <v>884</v>
      </c>
      <c r="B985" s="1">
        <v>3</v>
      </c>
      <c r="C985" s="1" t="s">
        <v>887</v>
      </c>
    </row>
    <row r="986" spans="1:3" x14ac:dyDescent="0.3">
      <c r="A986" s="1" t="s">
        <v>884</v>
      </c>
      <c r="B986" s="1">
        <v>4</v>
      </c>
      <c r="C986" s="1" t="s">
        <v>888</v>
      </c>
    </row>
    <row r="987" spans="1:3" x14ac:dyDescent="0.3">
      <c r="A987" s="1" t="s">
        <v>884</v>
      </c>
      <c r="B987" s="1">
        <v>5</v>
      </c>
      <c r="C987" s="1" t="s">
        <v>889</v>
      </c>
    </row>
    <row r="988" spans="1:3" x14ac:dyDescent="0.3">
      <c r="A988" s="1" t="s">
        <v>884</v>
      </c>
      <c r="B988" s="1">
        <v>6</v>
      </c>
      <c r="C988" s="1" t="s">
        <v>890</v>
      </c>
    </row>
    <row r="989" spans="1:3" x14ac:dyDescent="0.3">
      <c r="A989" s="1" t="s">
        <v>884</v>
      </c>
      <c r="B989" s="1">
        <v>7</v>
      </c>
      <c r="C989" s="1" t="s">
        <v>827</v>
      </c>
    </row>
    <row r="990" spans="1:3" x14ac:dyDescent="0.3">
      <c r="A990" s="1" t="s">
        <v>884</v>
      </c>
      <c r="B990" s="1">
        <v>8</v>
      </c>
      <c r="C990" s="1" t="s">
        <v>891</v>
      </c>
    </row>
    <row r="991" spans="1:3" x14ac:dyDescent="0.3">
      <c r="A991" s="1" t="s">
        <v>884</v>
      </c>
      <c r="B991" s="1">
        <v>9</v>
      </c>
      <c r="C991" s="1" t="s">
        <v>892</v>
      </c>
    </row>
    <row r="992" spans="1:3" x14ac:dyDescent="0.3">
      <c r="A992" s="1" t="s">
        <v>884</v>
      </c>
      <c r="B992" s="1">
        <v>10</v>
      </c>
      <c r="C992" s="1" t="s">
        <v>828</v>
      </c>
    </row>
    <row r="993" spans="1:3" x14ac:dyDescent="0.3">
      <c r="A993" s="1" t="s">
        <v>884</v>
      </c>
      <c r="B993" s="1">
        <v>11</v>
      </c>
      <c r="C993" s="1" t="s">
        <v>893</v>
      </c>
    </row>
    <row r="994" spans="1:3" x14ac:dyDescent="0.3">
      <c r="A994" s="1" t="s">
        <v>884</v>
      </c>
      <c r="B994" s="1">
        <v>12</v>
      </c>
      <c r="C994" s="1" t="s">
        <v>894</v>
      </c>
    </row>
    <row r="995" spans="1:3" x14ac:dyDescent="0.3">
      <c r="A995" s="1" t="s">
        <v>884</v>
      </c>
      <c r="B995" s="1">
        <v>13</v>
      </c>
      <c r="C995" s="1" t="s">
        <v>895</v>
      </c>
    </row>
    <row r="996" spans="1:3" x14ac:dyDescent="0.3">
      <c r="A996" s="1" t="s">
        <v>884</v>
      </c>
      <c r="B996" s="1">
        <v>14</v>
      </c>
      <c r="C996" s="1" t="s">
        <v>896</v>
      </c>
    </row>
    <row r="997" spans="1:3" x14ac:dyDescent="0.3">
      <c r="A997" s="1" t="s">
        <v>884</v>
      </c>
      <c r="B997" s="1">
        <v>15</v>
      </c>
      <c r="C997" s="1" t="s">
        <v>897</v>
      </c>
    </row>
    <row r="998" spans="1:3" x14ac:dyDescent="0.3">
      <c r="A998" s="1" t="s">
        <v>884</v>
      </c>
      <c r="B998" s="1">
        <v>16</v>
      </c>
      <c r="C998" s="1" t="s">
        <v>898</v>
      </c>
    </row>
    <row r="999" spans="1:3" x14ac:dyDescent="0.3">
      <c r="A999" s="1" t="s">
        <v>884</v>
      </c>
      <c r="B999" s="1">
        <v>17</v>
      </c>
      <c r="C999" s="1" t="s">
        <v>899</v>
      </c>
    </row>
    <row r="1000" spans="1:3" x14ac:dyDescent="0.3">
      <c r="A1000" s="1" t="s">
        <v>900</v>
      </c>
      <c r="B1000" s="1">
        <v>1</v>
      </c>
      <c r="C1000" s="1" t="s">
        <v>901</v>
      </c>
    </row>
    <row r="1001" spans="1:3" x14ac:dyDescent="0.3">
      <c r="A1001" s="1" t="s">
        <v>900</v>
      </c>
      <c r="B1001" s="1">
        <v>2</v>
      </c>
      <c r="C1001" s="1" t="s">
        <v>902</v>
      </c>
    </row>
    <row r="1002" spans="1:3" x14ac:dyDescent="0.3">
      <c r="A1002" s="1" t="s">
        <v>900</v>
      </c>
      <c r="B1002" s="1">
        <v>3</v>
      </c>
      <c r="C1002" s="1" t="s">
        <v>903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matching</vt:lpstr>
      <vt:lpstr>transformer</vt:lpstr>
      <vt:lpstr>enums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 Adrien</dc:creator>
  <cp:lastModifiedBy>Rosi Adrien</cp:lastModifiedBy>
  <dcterms:created xsi:type="dcterms:W3CDTF">2025-05-13T12:26:49Z</dcterms:created>
  <dcterms:modified xsi:type="dcterms:W3CDTF">2025-08-12T12:59:36Z</dcterms:modified>
</cp:coreProperties>
</file>